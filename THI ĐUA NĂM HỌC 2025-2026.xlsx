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ớp 10" sheetId="1" r:id="rId4"/>
    <sheet state="visible" name="Lớp 11" sheetId="2" r:id="rId5"/>
    <sheet state="visible" name="Lớp 12" sheetId="3" r:id="rId6"/>
    <sheet state="visible" name="Phong trào 1" sheetId="4" r:id="rId7"/>
    <sheet state="visible" name="Phong trào 2" sheetId="5" r:id="rId8"/>
    <sheet state="visible" name="SƠ KẾT HKI" sheetId="6" r:id="rId9"/>
  </sheets>
  <definedNames/>
  <calcPr/>
</workbook>
</file>

<file path=xl/sharedStrings.xml><?xml version="1.0" encoding="utf-8"?>
<sst xmlns="http://schemas.openxmlformats.org/spreadsheetml/2006/main" count="2494" uniqueCount="719">
  <si>
    <t>TỔNG KẾT THI ĐUA - TUẦN 1+2  - KHỐI 10</t>
  </si>
  <si>
    <t>Từ ngày: 21/08/2025 đến ngày: 12/09/2025</t>
  </si>
  <si>
    <t>LỚP</t>
  </si>
  <si>
    <t>HỌC TẬP</t>
  </si>
  <si>
    <t>NỀN NẾP</t>
  </si>
  <si>
    <t>CÁC HOẠT ĐỘNG KHÁC</t>
  </si>
  <si>
    <t>ĐIỂM TỔNG KẾT</t>
  </si>
  <si>
    <t>VỊ THỨ</t>
  </si>
  <si>
    <t>Tổng điểm các môn học</t>
  </si>
  <si>
    <t>Tổng các tiết học</t>
  </si>
  <si>
    <t>ĐIỂM 
HỌC TẬP</t>
  </si>
  <si>
    <t>Vắng 
không phép</t>
  </si>
  <si>
    <t xml:space="preserve">Trễ </t>
  </si>
  <si>
    <t>Mất trật tự</t>
  </si>
  <si>
    <t>Chuồn học</t>
  </si>
  <si>
    <t>Tác phong</t>
  </si>
  <si>
    <t>Trực báo</t>
  </si>
  <si>
    <t>Sổ sách</t>
  </si>
  <si>
    <t>Chào cờ</t>
  </si>
  <si>
    <t>Các vi phạm khác</t>
  </si>
  <si>
    <t>ĐIỂM 
NỀN NẾP</t>
  </si>
  <si>
    <t>Trong trường</t>
  </si>
  <si>
    <t>Ngoài trường</t>
  </si>
  <si>
    <t>Điểm thưởng</t>
  </si>
  <si>
    <t>ĐIỂM 
HOẠT ĐỘNG</t>
  </si>
  <si>
    <t>10/1</t>
  </si>
  <si>
    <t>10/2</t>
  </si>
  <si>
    <t>10/3</t>
  </si>
  <si>
    <t>10/4</t>
  </si>
  <si>
    <t>10/5</t>
  </si>
  <si>
    <t>10/6</t>
  </si>
  <si>
    <t>10/7</t>
  </si>
  <si>
    <t>10/8</t>
  </si>
  <si>
    <t>10/9</t>
  </si>
  <si>
    <t>10/10</t>
  </si>
  <si>
    <t>10/11</t>
  </si>
  <si>
    <t>10/12</t>
  </si>
  <si>
    <t>Vi phạm</t>
  </si>
  <si>
    <t>Quên cộng sổ đầu bài: 10/2</t>
  </si>
  <si>
    <t>Điểm thưởng các lớp tham gia hoạt động văn nghệ Lễ khai giảng, Lễ chào cờ</t>
  </si>
  <si>
    <t xml:space="preserve">10/1: Trễ: Anh Kiệt									</t>
  </si>
  <si>
    <t>(+0,5): 10/7, 10/12</t>
  </si>
  <si>
    <t xml:space="preserve">10/2: Trễ: Tấn Lộc 									</t>
  </si>
  <si>
    <t xml:space="preserve">10/3: VPĐP: Quang Vinh 							</t>
  </si>
  <si>
    <t xml:space="preserve">10/4: Trễ: An Đức, Quốc Hải, Bá Dũng, Thành Đạt, Bảo Trân									</t>
  </si>
  <si>
    <t xml:space="preserve">10/6: VPĐP: Trung Chính 							</t>
  </si>
  <si>
    <t xml:space="preserve">10/7: VPTP: Thiên Thanh									</t>
  </si>
  <si>
    <t xml:space="preserve">10/10: Trễ: Hải Sơn									</t>
  </si>
  <si>
    <t xml:space="preserve">10/11: Trễ: Minh Trường, Phương Thảo									</t>
  </si>
  <si>
    <t>TỔNG KẾT THI ĐUA - TUẦN 3  - KHỐI 10</t>
  </si>
  <si>
    <t>Từ ngày: 15/09/2025 đến ngày: 19/09/2025</t>
  </si>
  <si>
    <t>Quên cộng sổ dầu bài: 10/11</t>
  </si>
  <si>
    <t>Điểm thưởng các lớp tham gia hoạt động văn nghệ Lễ kỷ niệm 61 năm ngày thành lập trường</t>
  </si>
  <si>
    <t xml:space="preserve">10/2: VPĐP: Trinh Nguyên (16/9)									</t>
  </si>
  <si>
    <t>(+1):  10/12</t>
  </si>
  <si>
    <t xml:space="preserve">10/3: Vắng KP: Gia Anh (QP10/9)  Lớp báo vắng sai (17/9)									</t>
  </si>
  <si>
    <t xml:space="preserve">10/5: Trễ: Ngọc Ái, Quốc Anh (17/9)									</t>
  </si>
  <si>
    <t>Điểm thưởng các lớp tham gia bình chọn Video Đại sứ văn hóa đọc</t>
  </si>
  <si>
    <t xml:space="preserve">10/6: Vắng KP: Ngọc Châu, Quang Minh (12/9)  Trễ: Khánh Tuấn (17/9)									</t>
  </si>
  <si>
    <t>(+1): 10/1, 10/2, 10/3, 10/4, 10/5, 10/6, 10/7, 10/8, 10/10, 10/12</t>
  </si>
  <si>
    <t xml:space="preserve">10/7: VPĐP: Khánh Quỳnh									</t>
  </si>
  <si>
    <t xml:space="preserve">10/9: VPĐP: Bảo Hân, Ngọc Bích, Minh Hằng, Huệ Mẫn									</t>
  </si>
  <si>
    <t>Giải thưởng "Gian hàng ngày hội văn hóa"</t>
  </si>
  <si>
    <t xml:space="preserve">10/10: Trễ: Nguyên Thanh       VPĐP: Phước Duyên, Perun									</t>
  </si>
  <si>
    <t>Nhất (+2,5): 10/11</t>
  </si>
  <si>
    <t xml:space="preserve">10/11: Vắng KP: An Na (Lý 12/9)      VPĐP: Thùy Dương        Không trả sổ đầu bài ( 19/9)									</t>
  </si>
  <si>
    <t>Nhì (+2): 10/10, 10/12</t>
  </si>
  <si>
    <t xml:space="preserve">10/12: Vắng KP: Nhật Nam ( TD 12/9)        Trễ: Anh Tuấn   VPĐP: T Anh Thư      VPTP: Giáng My									</t>
  </si>
  <si>
    <t>Ba (+1,5): 10/2, 10/3, 10/7, 10/8</t>
  </si>
  <si>
    <t>Có tham gia (+0,5): 10/1, 10/4, 10/5, 10/6, 10/9</t>
  </si>
  <si>
    <t>TỔNG KẾT THI ĐUA - TUẦN 4 - KHỐI 10</t>
  </si>
  <si>
    <t>Từ ngày: 22/09/2025 đến ngày: 26/09/2025</t>
  </si>
  <si>
    <t>Cộng sai sổ đầu bài: 10/1</t>
  </si>
  <si>
    <t xml:space="preserve">10/1: Trễ: Nguyên Khoa, Chí Minh Quân, Minh Trí.    Vi phạm đồng phục(22/9): Duy Hoàng									</t>
  </si>
  <si>
    <t>Quên cộng sổ đầu bài: 10/5</t>
  </si>
  <si>
    <t>Điểm thưởng các lớp tham gia hoạt động văn nghệ Đại hội Đoàn trường</t>
  </si>
  <si>
    <t xml:space="preserve">10/3: VPĐP: Nhật Hào (22/9)                                                                        </t>
  </si>
  <si>
    <t>Không chấm thi đua: 10/3, 10/5, 10/6, 10/9, 10/10, 10/11</t>
  </si>
  <si>
    <t xml:space="preserve">10/4: VPĐP: Nguyên Phong (24/9)									</t>
  </si>
  <si>
    <t xml:space="preserve">10/5: Trễ: Trà My (22/9)  VPĐP: Cẩm Cát, Nhật Hào, Xuân Vũ (22/9).      								</t>
  </si>
  <si>
    <t xml:space="preserve">10/7: Trễ: Đông Mai, Nhật Linh, Kiều Loan									</t>
  </si>
  <si>
    <t xml:space="preserve">10/8: Trễ: Trí Dũng									</t>
  </si>
  <si>
    <t xml:space="preserve">10/9: VPĐP: Ngọc Bích ;  Không nộp sổ Đầu bài (chiều 25/9)									</t>
  </si>
  <si>
    <t xml:space="preserve">10/11: Vắng KP: Quý Trung ( Nhạc 22/9)           VPĐP: Gia Hân									</t>
  </si>
  <si>
    <t xml:space="preserve">                                                        </t>
  </si>
  <si>
    <t>TỔNG KẾT THI ĐUA - TUẦN 5 - KHỐI 10</t>
  </si>
  <si>
    <t>Từ ngày: 29/09/2025 đến ngày: 03/10/2025</t>
  </si>
  <si>
    <t>Vắng rèn luyện Đoàn viên: Anh Kiệt 10/1; Gia Anh, Quang Vinh 10/3</t>
  </si>
  <si>
    <t xml:space="preserve">10/1: Ăn trong lớp: Bích Thiện (01/10)  VPĐP: Nhật Minh (01/10)  Không đội mũ BH: Trần Huy (03/10)									</t>
  </si>
  <si>
    <t xml:space="preserve">10/3: VPĐP: Nhật Hoàng, Quang Vinh (01/10)   Không trả Sổ Đầu bài (01/10)                                                                        </t>
  </si>
  <si>
    <t>Điểm thưởng lớp có học sinh tham gia đạt giải tại Giải bơi do Thành ĐOàn tổ chức</t>
  </si>
  <si>
    <t xml:space="preserve">10/4: Vắng KP: Khánh Ngọc (24/9)									</t>
  </si>
  <si>
    <t>Nhất (+2,5): 10/10</t>
  </si>
  <si>
    <t xml:space="preserve">10/5: Vắng KP: Ngọc Ái, Hữu Trí   Trễ: Ngọc Ái (01/10), Anh Minh (03/10); lớp báo vắng sai					</t>
  </si>
  <si>
    <t>Nhì (+2): 10/10</t>
  </si>
  <si>
    <t xml:space="preserve">			</t>
  </si>
  <si>
    <t xml:space="preserve">10/8: Vắng KP: Thục Đan ( 25/9)           Trễ: Phan Bảo Ngọc ( TD 30/9)  Không trả Sổ Đầu bài (Chiều 02/10)									</t>
  </si>
  <si>
    <t>Điểm thưởng các lớp tham gia bình chọn cuộc thi Robocon</t>
  </si>
  <si>
    <t xml:space="preserve">					</t>
  </si>
  <si>
    <t>(+1): 10/1, 10/2, 10/3, 10/4, 10/5, 10/6, 10/7, 10/8, 10/9, 10/10, 10/11</t>
  </si>
  <si>
    <t xml:space="preserve">10/10: Vắng KP: Diệu Thảo ( PL 24/9)                 Không ký nhận và không trả Sổ Đầu bài ( chiều 29/9)									</t>
  </si>
  <si>
    <t xml:space="preserve">10/11: Vắng KP:Phước Toàn ( Lý 26/9)          KMBH: Minh Hằng          									</t>
  </si>
  <si>
    <t xml:space="preserve">10/12: Vắng KP: Linh Nhi ( TD 26/9)									</t>
  </si>
  <si>
    <t>TỔNG KẾT THI ĐUA - TUẦN 6 - KHỐI 10</t>
  </si>
  <si>
    <t>Từ ngày: 06/10/2025 đến ngày: 10/10/2025</t>
  </si>
  <si>
    <t>Quên cộng sổ dầu bài: 10/10, 10/11</t>
  </si>
  <si>
    <t xml:space="preserve">10/3: VPĐP: Vĩnh Kim (07/10)									</t>
  </si>
  <si>
    <t>Mất trật tự giờ chào cờ: 10/4, 10/5, 10/11</t>
  </si>
  <si>
    <t>Điểm thưởng các lớp tham gia thi trực tuyến về PCCC &amp; CHCN</t>
  </si>
  <si>
    <t xml:space="preserve">10/6: VPĐP: Bảo Nhân (07/10)									</t>
  </si>
  <si>
    <t>(+1): 10/1, 10/2, 10/4, 10/5, 10/6, 10/7, 10/8, 10/9, 10/11, 10/12</t>
  </si>
  <si>
    <t xml:space="preserve">10/9: Không cất bản tên lớp tiết chào cờ ( 6/10)									</t>
  </si>
  <si>
    <t>(+0,5): 10/3</t>
  </si>
  <si>
    <t>TỔNG KẾT THI ĐUA - TUẦN 7 - KHỐI 10</t>
  </si>
  <si>
    <t>Từ ngày: 13/10/2025 đến ngày: 17/10/2025</t>
  </si>
  <si>
    <t xml:space="preserve">10/1: Không trả sổ đầu bài (16/10) 									</t>
  </si>
  <si>
    <t>Điểm thưởng tham gia các hoạt động văn nghệ chào mừng 69 năm ngày truyền thống Hội LHTN</t>
  </si>
  <si>
    <t xml:space="preserve">10/2: Không trả sổ đầu bài (15/10)  Không đội MBH: Lê Huy (15/10)									</t>
  </si>
  <si>
    <t xml:space="preserve">10/3: Vắng KP: Phan Thảo (TD13/10)  Không đội MBH: Đăng Kiên (15/10)									</t>
  </si>
  <si>
    <t xml:space="preserve">10/4: Vắng KP: An Đức (QP8/10)									</t>
  </si>
  <si>
    <t xml:space="preserve">10/5: Báo vắng sai (TD13/10)									</t>
  </si>
  <si>
    <t xml:space="preserve">10/6: Vắng KP: Bảo Nhân(09/10)  Trễ: Trí Duy (16/10)									</t>
  </si>
  <si>
    <t xml:space="preserve">10/9: Trễ: Xuân Nhi, Minh Nhật                                                                        </t>
  </si>
  <si>
    <t xml:space="preserve">10/10: Trễ: Gia Bảo     KMBH: Thanh Hà									</t>
  </si>
  <si>
    <t xml:space="preserve">10/11: Trễ: An Na									</t>
  </si>
  <si>
    <t>TỔNG KẾT THI ĐUA - TUẦN 8 - KHỐI 10</t>
  </si>
  <si>
    <t>Từ ngày: 20/10/2025  đến ngày: 24/10/2025</t>
  </si>
  <si>
    <t xml:space="preserve">10/2: MTT: Vĩnh Khang, Nhật Tân (22/10)									</t>
  </si>
  <si>
    <t xml:space="preserve">10/4: VPĐP: Phương Nguyên (17/10)									</t>
  </si>
  <si>
    <t xml:space="preserve">10/5: Không đội MBH: Quốc Anh, Quốc Hoàng (15/10)									</t>
  </si>
  <si>
    <t xml:space="preserve">10/6: Vắng KP: Đinh Minh (15/10)  MTT: Huỳnh Đức (22/10)									</t>
  </si>
  <si>
    <t xml:space="preserve">10/7: MTT: Minh Quyền (22/10)									</t>
  </si>
  <si>
    <t xml:space="preserve">10/10: Không ký nhận và ký trả SĐB ( 20/10)									</t>
  </si>
  <si>
    <t xml:space="preserve">10/11: Trễ: An na									</t>
  </si>
  <si>
    <t>TỔNG KẾT THI ĐUA - TUẦN 9 + 10 + 11 - KHỐI 10</t>
  </si>
  <si>
    <t>Từ ngày: 27/10/2025 đến ngày: 14/11/2025</t>
  </si>
  <si>
    <t xml:space="preserve">10/1: Không trả Sổ đầu bài ( 7/11)									</t>
  </si>
  <si>
    <t xml:space="preserve">10/3: Không trả Sổ đầu bài (12/11)									</t>
  </si>
  <si>
    <t xml:space="preserve">10/4: VPĐP: Bảo Trân (08/11)									</t>
  </si>
  <si>
    <t xml:space="preserve">10/5: Vắng KP:  Cẩm Cát (09/11)   VPĐP: Xuân Vũ (11/11)									</t>
  </si>
  <si>
    <t xml:space="preserve">10/6: Vắng KP: Đinh Minh (06/11), Khánh Tuấn (09/11)									</t>
  </si>
  <si>
    <t xml:space="preserve">10/8: Thục Đan: giả đơn xin phép PH    Không trả Sổ đầu bài ( 8/11)									</t>
  </si>
  <si>
    <t xml:space="preserve">10/9: Trễ: Anh Thư   VPĐP: Ngọc Bích    Không trả Sổ đầu bài (11/11)									</t>
  </si>
  <si>
    <t xml:space="preserve">10/10: VPĐP: Hải Sơn , Nhật Quang    Không trả Sổ đầu bài (10/11)									</t>
  </si>
  <si>
    <t xml:space="preserve">10/11: Vắng KP: Kim Thắng ( Bù Địa 8/11)        Trễ: Bảo Trân									</t>
  </si>
  <si>
    <t xml:space="preserve">10/12: Vắng KP: Trọng Lợi ( QP 11/11)     Đuổi tiết: Ngọc An            Trễ: Ngọc Bảo, Hoàng Linh									</t>
  </si>
  <si>
    <t>TỔNG KẾT THI ĐUA - TUẦN 12 + 13 - KHỐI 10</t>
  </si>
  <si>
    <t>Từ ngày: 17/11/2025 đến ngày: 28/11/2025</t>
  </si>
  <si>
    <t>Quên cộng sổ đầu bài:10/2, 10/9</t>
  </si>
  <si>
    <t xml:space="preserve">10/1: Vắng KP: Ngọc Thạch (14/11)    Trễ: Quốc Tuấn (24/11)									</t>
  </si>
  <si>
    <t xml:space="preserve">10/2: VPKTGKI: Trần Lâm (môn Sử 16/11)  Báo vắng sai;(12/11)  Trễ: Quang Nam (24/11)									</t>
  </si>
  <si>
    <t xml:space="preserve">10/3: Vắng KP: Anh Quân (12/11) , Nhật Hoàng (19/11)  Báo vắng sai (19/11)									</t>
  </si>
  <si>
    <t xml:space="preserve">10/5: Trễ: Gia Bảo, Tăng Khoa (QP19/11), Bảo Trâm (24/11)									</t>
  </si>
  <si>
    <t xml:space="preserve">10/6: Vắng KP: Đinh Minh (14/11), Kiều Trinh (19/11)									</t>
  </si>
  <si>
    <t xml:space="preserve">10/9: Vắng KP: Minh Hằng (20/11)									</t>
  </si>
  <si>
    <t xml:space="preserve">10/10: Vắng KP: Minh Minh, Gia Bảo (19/11)									</t>
  </si>
  <si>
    <t xml:space="preserve">10/11: Vắng KP: Kim Thắng ( Địa 13/11)    Trễ kt: Minh Hằng, Mỹ Ngoc									</t>
  </si>
  <si>
    <t>TỔNG KẾT THI ĐUA - TUẦN 14 - KHỐI 10</t>
  </si>
  <si>
    <t>Từ ngày: 29/11/2025 đến ngày: 05/12/2025</t>
  </si>
  <si>
    <t xml:space="preserve">10/1: Vắng KP:  Trần Huy (01/12)  Báo vắng sai (29/11)  Trễ: Khánh Hoàng (4/12), Văn Huy 28/11  VPĐP: Minh Quân (05/12)                                                                     </t>
  </si>
  <si>
    <t>Điểm thưởng cuộc thi viết "Người chiến sĩ vùng 3 Hải quân"</t>
  </si>
  <si>
    <t xml:space="preserve">10/2: Vắng KP: Cát Nhật (26/11)									</t>
  </si>
  <si>
    <t>(+1): 10/1, 10/2, 10/3, 10/6, 10/7, 10/8, 10/12</t>
  </si>
  <si>
    <t xml:space="preserve">10/3:  Vắng KP: Tuấn Kiệt ( TD 01/12) Trễ: Ngô Nhật (26/11)                                                                        </t>
  </si>
  <si>
    <t xml:space="preserve">10/4: Báo vắng sai (01/12)                                                                        </t>
  </si>
  <si>
    <t>Điểm thưởng cuộc thi viết về kỉ niệm với mái trường</t>
  </si>
  <si>
    <t xml:space="preserve">10/5: Vắng KP: Hữu Trí (28/11)   Báo vắng sai (01/12)  Trễ: Xuân Vũ (04/12)									</t>
  </si>
  <si>
    <t>(+1): 10/1, 10/2, 10/3, 10/5, 10/6, 10/8, 10/12</t>
  </si>
  <si>
    <t xml:space="preserve">10/9: Vắng KP: Hồng Phúc (26/11)  Trễ: Ngọc Bích (02/12)  Trễ: Minh Hằng, Xuân Nhi (05/12)                                                                      </t>
  </si>
  <si>
    <t xml:space="preserve">10/10: Vắng KP: Gia Bảo (27+28/11), Nhật Quang (28/11+ 02/12)                                                                 </t>
  </si>
  <si>
    <t xml:space="preserve">10/11: Vắng KP: An Na, Minh Trường (26/11), Ngọc Anh (02/12)  Trễ: Phương Thảo (04/12)                                                              </t>
  </si>
  <si>
    <t xml:space="preserve">10/12:  Trễ: Phương Uyên (03/12)                                                             </t>
  </si>
  <si>
    <t>TỔNG KẾT THI ĐUA - TUẦN 15 - KHỐI 10</t>
  </si>
  <si>
    <t>Từ ngày: 06/12/2025 đến ngày: 12/12/2025</t>
  </si>
  <si>
    <t xml:space="preserve">10/2: Trễ: Minh Ngọc (8/12)  									</t>
  </si>
  <si>
    <t>Điểm thưởng Liên hoan "Giai điệu tuổi hồng"</t>
  </si>
  <si>
    <t xml:space="preserve">10/4: Trễ: An Đức (11/12)  Đem thức ăn vào lớp: Nhã Uyên (9/12)									</t>
  </si>
  <si>
    <t>Nhất (+2,5): 10/3</t>
  </si>
  <si>
    <t xml:space="preserve">10/5: Trễ : Anh Minh (10/12)  VPĐP: Quốc Hoàng (6/12)									</t>
  </si>
  <si>
    <t>Nhì (+2): 10/8</t>
  </si>
  <si>
    <t xml:space="preserve">10/6: Trễ: Nhật Vũ (6/12)  Báo vắng sai (5/12)									</t>
  </si>
  <si>
    <t>Ba (+1,5): 10/6; 10/10</t>
  </si>
  <si>
    <t xml:space="preserve">									</t>
  </si>
  <si>
    <t>Khuyến khích (+1): 10/9; 10/12</t>
  </si>
  <si>
    <t xml:space="preserve">10/9: Trễ: Minh Nhật (6/12), Minh Nghĩa, Tuyết Nhi, Khánh Uyên (10/12)                                                                        </t>
  </si>
  <si>
    <t>Có tham gia (+0,5): 10/1, 10/2; 10/4; 10/5; 10/7; 10/11</t>
  </si>
  <si>
    <t xml:space="preserve">10/11: Vắng KP: Ngọc Anh, Quỳnh Trâm (3/12), Bảo Ngọc (4/12), Thùy Dương (8/12)  Trễ: Phúc An (10/12), Phương Thảo (11/12)									</t>
  </si>
  <si>
    <t>Điểm thưởng các lớp hoàn thành cuộc thi Olympic Tiếng Anh</t>
  </si>
  <si>
    <t>(+1):  từ 10/1 đến 10/12</t>
  </si>
  <si>
    <t>Điểm thưởng cuộc thi "Ý tưởng sáng tạo"</t>
  </si>
  <si>
    <t>Nhì (+2): 10/2</t>
  </si>
  <si>
    <t>Khuyến khích (+1): 10/8, 10/10</t>
  </si>
  <si>
    <t>TỔNG KẾT THI ĐUA - TUẦN 16 - KHỐI 10</t>
  </si>
  <si>
    <t>Từ ngày: 15/12/2025 đến ngày: 19/12/2025</t>
  </si>
  <si>
    <t>Không nhận xét thi đua: 10/2, 10/5, 10/7, 10/12, 10/10, 10/11</t>
  </si>
  <si>
    <t xml:space="preserve">10/1: Không đội mũ BH: Quốc Huy (16/12)  Trễ: Đại Bảo (17/12), Minh Trí (19/12)									</t>
  </si>
  <si>
    <t xml:space="preserve">10/4: Trễ: Đình Quý (10/12)  Không đội mũ BH: Khánh Ngọc (16/12)  Trễ:P Thanh Phương, Đình Quý (17/12)                                                                        </t>
  </si>
  <si>
    <t xml:space="preserve">10/5: Vắng KP:Hữu Trí (10/12), Ăn trong lớp:Gia Bảo, Anh Minh (16/12) Đem 5 ổ bánh mỳ vào lớp (không ai nhận-16/12)Trễ:Đức Dũng,Thủy Tiên,Bảo Trân (17/12)									</t>
  </si>
  <si>
    <t xml:space="preserve">10/6: Không đội mũ BH: Nhã Thư (16/12)  Trễ: Minh Quân (16/12)									</t>
  </si>
  <si>
    <t xml:space="preserve">10/7: Trễ: Minh Tâm       									</t>
  </si>
  <si>
    <t xml:space="preserve">10/8: Vắng KP: Bá Sơn ( QP 10/12)									</t>
  </si>
  <si>
    <t xml:space="preserve">10/10: VPĐP: Ngọc Anh, Phương Thảo									</t>
  </si>
  <si>
    <t xml:space="preserve">10/11: Vắng KP: Bảo Trân ( Nhạc 15/12)          Trễ: An Na                                                                        </t>
  </si>
  <si>
    <t xml:space="preserve">10/12: Trễ: Hoàng Linh ( Nhạc 15/12)                                                                        </t>
  </si>
  <si>
    <t>TỔNG KẾT THI ĐUA - TUẦN 17 - KHỐI 10</t>
  </si>
  <si>
    <t>Từ ngày: 22/12/2025 đến ngày: 26/12/2025</t>
  </si>
  <si>
    <t xml:space="preserve">10/1: Không đội mũ BH: Nhật Minh (19/12)									</t>
  </si>
  <si>
    <t xml:space="preserve">10/2: Trễ: Lê Khoa (24/12)									</t>
  </si>
  <si>
    <t>(+1):  từ 10/1, 10/2, 10/3, 10/4, 10/5, 10/6, 10/8, 10/9, 10/10, 10/11, 10/12</t>
  </si>
  <si>
    <t xml:space="preserve">10/4:Báo vắng sai                                                           </t>
  </si>
  <si>
    <t xml:space="preserve">10/5: Trễ: Cẩm Cát (23/12)									</t>
  </si>
  <si>
    <t xml:space="preserve">10/6: Vắng KP: Đinh Minh (17/12), Ngọc Ái (19/12)   Trễ: Quốc Tuấn (22/12), Gia Hân (23/12) Ngọc Châu,Đinh Minh (24/12)									</t>
  </si>
  <si>
    <t xml:space="preserve">10/9: SDĐT tiết chào cờ: Ngọc Bích   Trễ: Nguyễn Nhi, Phương Thảo (26/12)									</t>
  </si>
  <si>
    <t xml:space="preserve">10/10: Lớp vi phạm quy định của Đoàn trường           Trễ+ VPĐP: Nguyên Thanh									</t>
  </si>
  <si>
    <t xml:space="preserve">10/11: Vắng KP: Ngọc Bích ( Tin+ PL 17/12), Quang Văn ( PL 17/12),Bảo Trân ( Nhạc 22/12)    Lớp vi phạm quy định của Đoàn trường             Trễ: Phương Thảo, Ngọc Anh									</t>
  </si>
  <si>
    <t xml:space="preserve">						</t>
  </si>
  <si>
    <t>TỔNG KẾT THI ĐUA - TUẦN 18 + 19 - KHỐI 10</t>
  </si>
  <si>
    <t>Từ ngày: 29/12/2025 đến ngày: 05/01/2026</t>
  </si>
  <si>
    <t xml:space="preserve">10/1: Trễ: Quý Hiển, Đức Anh (29/12)									</t>
  </si>
  <si>
    <t>Điểm thưởng các lớp tham gia điều động của Đoàn phường "Sắc xuân mới"</t>
  </si>
  <si>
    <t xml:space="preserve">10/2: Vắng KP: Hoàng Khoa (26/12)									</t>
  </si>
  <si>
    <t>(+2): 10/8, 10/9, 10/12</t>
  </si>
  <si>
    <t xml:space="preserve">10/3: VPĐP: Ngô Nhật (05/01)									</t>
  </si>
  <si>
    <t xml:space="preserve">10/4: Trễ: Nhật Minh (29/12)   Đuổi tiết QP: Nhã Uyên (31/12)									</t>
  </si>
  <si>
    <t>Điểm thưởng các lớp tham gia văn nghệ do Đoàn cấp trên điều động</t>
  </si>
  <si>
    <t xml:space="preserve">10/5: Trễ: Ngọc Ái (QP 31/12)									</t>
  </si>
  <si>
    <t>(+1): 10/7, 10/9, 10/10, 10/12</t>
  </si>
  <si>
    <t xml:space="preserve">10/6: Vắng KP: Văn Anh (25/12)									</t>
  </si>
  <si>
    <t xml:space="preserve">10/7: Trễ: Xuân Nhi									</t>
  </si>
  <si>
    <t>Điểm thưởng cuộc thi "Ý tưởng khởi nghiệp"</t>
  </si>
  <si>
    <t xml:space="preserve">10/9: Vắng KP: Kim Thịnh ( QP 29/12)									</t>
  </si>
  <si>
    <t>(+1): 10/2</t>
  </si>
  <si>
    <t xml:space="preserve">10/10: Trễ+ VPĐP: Gia Bảo, Nhật Quang									</t>
  </si>
  <si>
    <t>Điểm thưởng cuộc thi "Khoa học kỹ thuật" cấp trường năm học 2025 - 2026</t>
  </si>
  <si>
    <t xml:space="preserve">10/11: Vắng KP: Quang Văn ( Sinh 29/12)									</t>
  </si>
  <si>
    <t>(+2,5): 10/2</t>
  </si>
  <si>
    <t xml:space="preserve">10/12: Trễ: An Như (29/12)									</t>
  </si>
  <si>
    <t>(+1): 10/8; 10/10</t>
  </si>
  <si>
    <t>TỔNG KẾT THI ĐUA - TUẦN 1 + 2  - KHỐI 11</t>
  </si>
  <si>
    <t>11/1</t>
  </si>
  <si>
    <t>11/2</t>
  </si>
  <si>
    <t>11/3</t>
  </si>
  <si>
    <t>11/4</t>
  </si>
  <si>
    <t>11/5</t>
  </si>
  <si>
    <t>11/6</t>
  </si>
  <si>
    <t>11/7</t>
  </si>
  <si>
    <t>11/8</t>
  </si>
  <si>
    <t>11/9</t>
  </si>
  <si>
    <t>11/10</t>
  </si>
  <si>
    <t>11/11</t>
  </si>
  <si>
    <t>11/12</t>
  </si>
  <si>
    <t>11/13</t>
  </si>
  <si>
    <t>11/14</t>
  </si>
  <si>
    <t>Vi Phạm</t>
  </si>
  <si>
    <t xml:space="preserve">11/1: VPĐP: Huy Hùng               Hút thuốc lá: Lâm Hiếu									</t>
  </si>
  <si>
    <t>Không tham gia tập huấn (-1): 11/14</t>
  </si>
  <si>
    <t xml:space="preserve">11/2: Vắng KP: Tiến Thạnh ( 28/8)        Trễ: Khánh Việt									</t>
  </si>
  <si>
    <t xml:space="preserve">11/3: Trễ: Linh Đan, Thúy Trúc									</t>
  </si>
  <si>
    <t>(+2): 11/1, 11/2</t>
  </si>
  <si>
    <t xml:space="preserve">11/5: VPTP: Nguyên Khoa									</t>
  </si>
  <si>
    <t>(+0,5): 11/5, 11/9,  11/11, 11/12, 11/14</t>
  </si>
  <si>
    <t xml:space="preserve">11/6: Vắng KP: Minh khôi, Quốc Huy ( 28/8)              Trễ: Đình Quyền                      VPTP: Bảo Quân, Quốc Huy             VPĐP: Quỳnh Anh									</t>
  </si>
  <si>
    <t xml:space="preserve">11/8: Vắng KP: Việt Thắng ( 28/8)									</t>
  </si>
  <si>
    <t xml:space="preserve">11/9: Trễ: Thảo Linh                        VPTP: Bảo Trâm									</t>
  </si>
  <si>
    <t xml:space="preserve">11/10: Trễ: Trung Ngọc									</t>
  </si>
  <si>
    <t xml:space="preserve">11/11: KMBH: Bảo Trí									</t>
  </si>
  <si>
    <t xml:space="preserve">11/12: Vắng KP: Long Nhật , Thủy Tiên ( 28/8)									</t>
  </si>
  <si>
    <t xml:space="preserve">11/13: VPĐP: Quốc Bảo									</t>
  </si>
  <si>
    <t xml:space="preserve">11/14: Trễ: Hoàng Anh, Bảo Nam, Bích Ngọc, Uyên Ngân									</t>
  </si>
  <si>
    <t>TỔNG KẾT THI ĐUA - TUẦN 3 - KHỐI 11</t>
  </si>
  <si>
    <t xml:space="preserve">11/2: Không cất bản tên lớp (15/9)        									</t>
  </si>
  <si>
    <t>(+0,5):  11/4, 11/5, 11/9, 11/11, 11/12, 11/13, 11/14</t>
  </si>
  <si>
    <t xml:space="preserve">11/3: Không cất bản tên lớp (15/9)      VPĐP: Trung Kiên									</t>
  </si>
  <si>
    <t>ĐIểm thưởng tham gia điều động của Hội CTĐ</t>
  </si>
  <si>
    <t xml:space="preserve">11/5: VPĐP: Xuân Vinh									</t>
  </si>
  <si>
    <t>(+2): 11/3, 11/8</t>
  </si>
  <si>
    <t xml:space="preserve">11/6: Vắng KP: Ngọc Nhân , Văn Hoàng Long ( TD 11/9)         Trễ: Nhật Tiến , Đình Quyền, Văn Long          VPĐP: Hoàng Long, Bảo Quân									</t>
  </si>
  <si>
    <t xml:space="preserve">11/7: Trễ: Quỳnh Hương     VPĐP: Thế Bảo									</t>
  </si>
  <si>
    <t>(+1): từ 11/1 đến 11/14</t>
  </si>
  <si>
    <t xml:space="preserve">11/8: Không cất bản tên lớp (15/9)         Trễ : Thùy Trang, Anh Hào, Minh Hằng              VPĐP: Tâm Đan, Minh Tuệ, Duy Luân, Thiện Nhân, Viết Thắng, Hoàng Hằng      									</t>
  </si>
  <si>
    <t xml:space="preserve">11/9:  Không cất bản tên lớp (15/9)         Trễ: Diệu Thảo        Ăn trong lớp: Trường Hải									</t>
  </si>
  <si>
    <t>Giải thưởng "Ngày hội văn hóa"</t>
  </si>
  <si>
    <t xml:space="preserve">11/10: VPĐP: Nhật Tân									</t>
  </si>
  <si>
    <t>Nhất (+2,5): 11/4, 11/8</t>
  </si>
  <si>
    <t xml:space="preserve">11/11: Trễ: Phương Uyên, Nhật Hoàng, Tuấn Kiệt, Thảo My  				</t>
  </si>
  <si>
    <t>Nhì (+2): 11/10, 11/2</t>
  </si>
  <si>
    <t xml:space="preserve">11/13: Trễ: Hà Vy									</t>
  </si>
  <si>
    <t>Ba (+1,5): 11/7, 11/11, 11/5, 11/13</t>
  </si>
  <si>
    <t xml:space="preserve">11/14: Vắng KP: Đức Nguyên ( QP 12/9)           Trễ: Phương Minh             VPĐP: Thọ Sơn									</t>
  </si>
  <si>
    <t>K/Khích (+1): 11/6, 11/9, 11/14</t>
  </si>
  <si>
    <t>Có tham gia (+0,5): 11/1, 11/3, 11/12</t>
  </si>
  <si>
    <t>TỔNG KẾT THI ĐUA - TUẦN 4 - KHỐI 11</t>
  </si>
  <si>
    <t>Ổn định chậm giờ chào cờ: 11/6, 11/9, 11/12, 11/13</t>
  </si>
  <si>
    <t xml:space="preserve">11/1: Trễ: Quý Minh  VPĐP: Hồng Phúc;  Lớp không tắt điện khi về (26/9)									</t>
  </si>
  <si>
    <t>Mất trật tự giờ chào cờ: 11/14</t>
  </si>
  <si>
    <t xml:space="preserve">11/2: Trễ: Bảo Yến   VPĐP: Nhật Quang, Bảo Trân									</t>
  </si>
  <si>
    <t>Không nhận xét thi đua: 11/3, 11/6, 11/14</t>
  </si>
  <si>
    <t>(+0,5): 11/5, 11/6, 11/8, 11/9,  11/11, 11/14</t>
  </si>
  <si>
    <t xml:space="preserve">11/3: VPĐP: Bảo Khanh									</t>
  </si>
  <si>
    <t>Chấm thi đua không chính xác: 11/12</t>
  </si>
  <si>
    <t xml:space="preserve">11/4: VPĐP: Hồng Quân									</t>
  </si>
  <si>
    <t xml:space="preserve">11/6: Ổn định chậm tiết chào cờ (22/9)  Trễ: Phương Nhi, Ngọc Nhân    VPĐP: Quốc Huy       Đuổi tiết: Tấn Tài                                                                        </t>
  </si>
  <si>
    <t>11/7: Ổn định chậm tiết chào cờ     Trễ: Minh Quốc</t>
  </si>
  <si>
    <t xml:space="preserve">11/8: Vắng KP: Nhật Quang ( QP 19/9)         Trễ: Phương Như   VPĐP: Anh Hào, Thùy Trang									</t>
  </si>
  <si>
    <t xml:space="preserve">11/9: Ổn định chậm tiết chào cờ (22/9)  VPĐP: Nhất Long									</t>
  </si>
  <si>
    <t xml:space="preserve">11/10: VPĐP: Quỳnh Châu, Nhật Tân									</t>
  </si>
  <si>
    <t xml:space="preserve">11/11: VPĐP: Thanh Bình, Minh Trí, Tường Vy									</t>
  </si>
  <si>
    <t xml:space="preserve">11/12: Ổn định chậm tiết chào cờ (22/9)									</t>
  </si>
  <si>
    <t xml:space="preserve">11/14:  VPĐP: Anh Bảo, Bảo Hân                           Mang thức ăn hộp xốp vào trường: Kim Anh									</t>
  </si>
  <si>
    <t>TỔNG KẾT THI ĐUA - TUẦN 5 - KHỐI 11</t>
  </si>
  <si>
    <t>Quên cộng sổ đầu bài: 11/13, 11/14</t>
  </si>
  <si>
    <t xml:space="preserve">11/2: VPĐP: Khánh Quỳnh, Tùng Anh, Diệp Nhi:            Mang thức ăn hộp xốp vào trường : Xuân Sơn              									</t>
  </si>
  <si>
    <t xml:space="preserve">11/4: VPĐP: Hồng Ngân									</t>
  </si>
  <si>
    <t>(+1): 11/1, 11/3, 11/2, 11/4, 11/5, 11/6, 11/7, 11/8, 11/9, 11/10, 11/11, 11/12, 11/13, 11/14</t>
  </si>
  <si>
    <t xml:space="preserve">11/5: VPĐP: Thảo Nhi, Hải Yến									</t>
  </si>
  <si>
    <t xml:space="preserve">11/6: Vắng KP: Ngọc Nhân ( TD 25/9), Quỳnh Anh ( TD 25/9)            VPĐP: Hoàng Phương, Diệu Anh, Quỳnh Anh, Khánh Hà              									</t>
  </si>
  <si>
    <t>(+1): 11/1, 11/2, 11/3, 11/4, 11/5, 11/6, 11/7, 11/8, 11/9, 11/10, 11/11, 11/13, 11/14</t>
  </si>
  <si>
    <t xml:space="preserve">11/7: VPĐP: Gia Lạc, Khánh Huyền, Thùy Tiên									</t>
  </si>
  <si>
    <t>Điểm thưởng lớp có học sinh tham gia đạt giải tại Giải bơi do Thành Đoàn tổ chức</t>
  </si>
  <si>
    <t xml:space="preserve">11/8: VPĐP: Ngọc Phương, Xuân Hà, Thùy Trang, Triệu Vy, Khánh Quỳnh									</t>
  </si>
  <si>
    <t>Nhì (+2): 11/3</t>
  </si>
  <si>
    <t xml:space="preserve">11/9: VPĐP: Khánh Băng, Như Khánh, Quỳnh Như									</t>
  </si>
  <si>
    <t>Ba (+1,5): 11/1, 11/3, 11/12, 11/13</t>
  </si>
  <si>
    <t xml:space="preserve">11/11: Trễ: Tôn Bảo Ngọc									</t>
  </si>
  <si>
    <t xml:space="preserve">11/12: VPĐP: Sông Hương, Thục Nghi, Phương Thanh									</t>
  </si>
  <si>
    <t xml:space="preserve">11/13: Trễ: Thùy Nhiên , Không trả sổ đầu bài ( chiều 3/10)									</t>
  </si>
  <si>
    <t xml:space="preserve">11/4: Vắng KP: Đức Nguyên ( QP 26/9)          VPĐP: Thanh Thủy, Nguyễn Ngọc Hân, Bảo Hân									</t>
  </si>
  <si>
    <t>TỔNG KẾT THI ĐUA - TUẦN 6 - KHỐI 11</t>
  </si>
  <si>
    <t>Mất trật tự giờ chào cờ: 11/2, 11/7, 11/14</t>
  </si>
  <si>
    <t xml:space="preserve">11/2: Vắng KP: Xuân Sơn ( 1/10)           VPTP:  Tiến Thạnh									</t>
  </si>
  <si>
    <t>Không nhận xét thi đua: 11/6, 11/9</t>
  </si>
  <si>
    <t xml:space="preserve">11/3: Vắng KP: Ngọc Hoàng ( 2/10)         Trễ: Lan Phương, Thanh Phong									</t>
  </si>
  <si>
    <t>(+1): 11/1, 11/2, 11/3, 11/5, 11/7, 11/8, 11/9, 11/10, 11/11, 11/12, 11/13</t>
  </si>
  <si>
    <t xml:space="preserve">11/4: Vắng KP: Bảo Huy                     Trễ: Anh Minh						</t>
  </si>
  <si>
    <t xml:space="preserve">11/5: Đuổi tiết: Hoàng Phúc									</t>
  </si>
  <si>
    <t xml:space="preserve">11/6: Vắng KP: Ngọc Nhân, Quốc Huy ( QP 3/10)            VPĐP: Ngọc Nhân            Bỏ tiết: Văn Hoàng Long, Ngọc Nhân, Quốc Huy									</t>
  </si>
  <si>
    <t xml:space="preserve">11/7: Trễ: Gia Bảo, Quốc Huy									</t>
  </si>
  <si>
    <t xml:space="preserve">11/8: VPĐP: Duy Luân									</t>
  </si>
  <si>
    <t xml:space="preserve">11/9: Trễ + VPĐP: Quỳnh Như                 KMBH: Nhật Anh            Trễ: Nhất Long        									</t>
  </si>
  <si>
    <t xml:space="preserve">11/10: Không trả sổ Đầu bài (Chiều 09/10)									</t>
  </si>
  <si>
    <t xml:space="preserve">11/14: Trễ: Việt Khôi                                                                         </t>
  </si>
  <si>
    <t>TỔNG KẾT THI ĐUA - TUẦN 7 - KHỐI 11</t>
  </si>
  <si>
    <t>Quên cộng sổ đầu bài: 11/7</t>
  </si>
  <si>
    <t>Điểm thưởng tham gia cuộc thi "Rung chuông vàng về di sản"</t>
  </si>
  <si>
    <t xml:space="preserve">11/5: Vắng KP: Hiểu Khánh ( TD 8/10)									</t>
  </si>
  <si>
    <t>Vi phạm giờ chào cờ: 11/1, 11/14</t>
  </si>
  <si>
    <t>(+2,5): 11/4</t>
  </si>
  <si>
    <t xml:space="preserve">11/6: Trễ: Mai Ngọc, Đình Quyền									</t>
  </si>
  <si>
    <t>Không nhận xét thi đua: 11/6</t>
  </si>
  <si>
    <t>(+1): 11/11, 11/14</t>
  </si>
  <si>
    <t xml:space="preserve">11/7: Trễ: Tiến Đạt           VPĐP: Anh Kiệt									</t>
  </si>
  <si>
    <t>(+0,5): 11/1, 11/2,11/7, 11/8, 11/9, 11/10, 11/12</t>
  </si>
  <si>
    <t xml:space="preserve">11/8: Vắng KP: Minh Tuệ ( 8/10)									</t>
  </si>
  <si>
    <t>Điểm thưởng tham gia các hoạt động văn nghệ chào mừng 69 năm ngày truyền thống Hội HTN</t>
  </si>
  <si>
    <t xml:space="preserve">11/9: Trễ: Tuấn Ngọc, Triều Phú									</t>
  </si>
  <si>
    <t>(+0,5): 11/3, 11/6, 11/8, 11/9, 11/11, 11/14</t>
  </si>
  <si>
    <t>Điểm thưởng cuộc thi "Sáng tác video" hưởng ứng Tuần lễ học tập suốt đời</t>
  </si>
  <si>
    <t xml:space="preserve">11/11: Trễ: Bảo Trí									</t>
  </si>
  <si>
    <t>Nhất (+2,5): 11/3</t>
  </si>
  <si>
    <t xml:space="preserve">11/12: Trễ: Thủy Tiên									</t>
  </si>
  <si>
    <t>Nhì (+2): 11/5</t>
  </si>
  <si>
    <t xml:space="preserve">11/13: Trễ: Ngọc Minh									</t>
  </si>
  <si>
    <t>Ba (+1,5): 11/7</t>
  </si>
  <si>
    <t xml:space="preserve">11/14: Trễ: Đức Nguyên              VPĐP: Hải Anh									</t>
  </si>
  <si>
    <t>Khuyến khích (+1): 11/12, 11/13</t>
  </si>
  <si>
    <t>Có tham gia (+0.5): 11/1, 11/2, 11/4, 11/6, 11/8, 11/9, 11/10, 11/11, 11/14</t>
  </si>
  <si>
    <t>TỔNG KẾT THI ĐUA - TUẦN 8 - KHỐI 11</t>
  </si>
  <si>
    <t>Từ ngày: 20/10/2025 đến ngày: 24/10/2025</t>
  </si>
  <si>
    <t>Quên cộng sổ đầu bài: 11/8</t>
  </si>
  <si>
    <t xml:space="preserve">11/3: Trễ: Bảo Duy									</t>
  </si>
  <si>
    <t>Điểm thưởng các lớp có học sinh đạt giải cao trong kì thi chọn HSG cấp thành phố</t>
  </si>
  <si>
    <t xml:space="preserve">11/4: Trễ: Khánh Ngọc									</t>
  </si>
  <si>
    <t>(+2): 11/4, 11/10</t>
  </si>
  <si>
    <t xml:space="preserve">11/5: Trễ: Phước Duy									</t>
  </si>
  <si>
    <t>(+1,5): 11/1, 11/5, 11/7, 11/11, 11/12, 11/13, 11/14</t>
  </si>
  <si>
    <t xml:space="preserve">11/6: Trễ: Nhật An , Đình Quyền ( 2 lần)									</t>
  </si>
  <si>
    <t>Điểm thưởng tham gia cuộc thi Robocon HUSC 2025</t>
  </si>
  <si>
    <t xml:space="preserve">11/10: Trễ: Nhật Tân									</t>
  </si>
  <si>
    <t>Lớp tham gia cổ vũ (+2): 11/10</t>
  </si>
  <si>
    <t>(+1): 11/5, 11/7</t>
  </si>
  <si>
    <t xml:space="preserve">11/14: Trễ: Bội Quỳnh Anh         VPĐP: Nguyễn Quỳnh Anh									</t>
  </si>
  <si>
    <t>TỔNG KẾT THI ĐUA - TUẦN 9 + 10 + 11 - KHỐI 11</t>
  </si>
  <si>
    <t xml:space="preserve">11/4: Trễ: Anh Minh									</t>
  </si>
  <si>
    <t xml:space="preserve">Việt tốt: Thùy Trang, Nhật Linh nhặt được 100k tại NTĐ </t>
  </si>
  <si>
    <t xml:space="preserve">11/5: Vắng KP: Gia Bảo ( Bù  QP 8/11)									</t>
  </si>
  <si>
    <t xml:space="preserve">11/6: Vắng KP: Quỳnh Anh ( Bù TD 8/11)             Trễ: Ngọc Nhân, Nhật An									</t>
  </si>
  <si>
    <t xml:space="preserve">11/7: Trễ: Thùy Tiên, Phương Linh, Anh Khoa, Thế Bảo, Khánh Toàn									</t>
  </si>
  <si>
    <t xml:space="preserve">11/8: Vắng KP: Hữu Khôi ( Bù 8/11)                      Không trả Sổ đầu bài (09/11)                                                                           </t>
  </si>
  <si>
    <t xml:space="preserve">11/9: Vắng KP: Nguyễn Bảo Ngọc ( Bù QP 8/11)           VPTP: Thành Nhân									</t>
  </si>
  <si>
    <t xml:space="preserve">11/14: Ăn trong lớp: Kim Anh    Trễ: Phước Hưng, Phương Linh        VPĐP: Bích Ngọc, Uyên Ngân									</t>
  </si>
  <si>
    <t>TỔNG KẾT THI ĐUA - TUẦN 12 + 13 - KHỐI 11</t>
  </si>
  <si>
    <t>Quên cộng sổ đầu bài: 11/2,  11/6, 11/7</t>
  </si>
  <si>
    <t xml:space="preserve">11/3: Trễ: Thiện Nhân, Lê Duy, Trung Kiên, Minh Quân      VPĐP: Thanh Phong									</t>
  </si>
  <si>
    <t>Mất trật tự giờ chào cờ: 11/7, 11/14, 11/2, 11/4, 11/5</t>
  </si>
  <si>
    <t xml:space="preserve">11/4: Không có bản tên lớp tiết chào cờ ( 24/11)      Việc tốt: Phương Nam nhặt 85.000 ngàn đồng ở NTĐ                                                                        </t>
  </si>
  <si>
    <t xml:space="preserve">11/6: Vắng KP: Đình Quyền (13/11)  Trễ: Ngọc Nhân									</t>
  </si>
  <si>
    <t xml:space="preserve">11/7: Trễ:Tiến Dũng, Minh Quốc									</t>
  </si>
  <si>
    <t xml:space="preserve">11/8: Vắng KP: Minh Thư (14/11)									</t>
  </si>
  <si>
    <t xml:space="preserve">11/14: Ổn định chậm tiết chào cờ ( 24/11)      Việc tốt: Nhặt ví có giấy tờ và 200.000đ nộp trả lại ( Minh Châu 12/2 đã nhận)									</t>
  </si>
  <si>
    <t>TỔNG KẾT THI ĐUA - TUẦN 14 - KHỐI 11</t>
  </si>
  <si>
    <t>Việc tốt: Ngọc Hoàng, Thục Nhiên Nhặt ví có CCCD+ 300.000đ nộp trả lại (Văn Duy 12/1 đã nhận)</t>
  </si>
  <si>
    <t>VPĐP: Thành Đạt, Quý Minh (05/12)</t>
  </si>
  <si>
    <t>Trễ: Minh Hằng (03/12), Nhật Anh (27/11)</t>
  </si>
  <si>
    <t xml:space="preserve">Trễ: Hoàng Đức (26/11)  </t>
  </si>
  <si>
    <t>(+1): 11/1, 11/2, 11/3, 11/4, 11/5, 11/7, 11/9, 11/10, 11/11, 11/12, 11/13, 11/14</t>
  </si>
  <si>
    <t>Vắng KP: Anh Kiệt (28/11)</t>
  </si>
  <si>
    <t>Vắng KP: Ngọc Nhân, Đình Quyền (29/11), Nguyên Kha(01/12)   VPĐP: Nhật An (27/11)  Trễ: Tấn Long, Khánh Ngọc (05/12)</t>
  </si>
  <si>
    <t>Vắng KP:  Trễ: Minh Quốc (27/11)</t>
  </si>
  <si>
    <t>(+1): 11/1, 11/3, 11/5, 11/9, 11/10, 11/11</t>
  </si>
  <si>
    <t>Vắng KP: Minh Tuệ (27/11), Ánh Tuyết (27+29/11), Kim Hoàng (28/11)</t>
  </si>
  <si>
    <t>Trễ: Ngọc Trâm (29/11)</t>
  </si>
  <si>
    <t>Vắng KP: Thanh Trang (29/11)</t>
  </si>
  <si>
    <t>Vắng KP:Bảo Châu (27/11), Đức Nguyên (01/12)  Trễ: Phước Hưng (29/11)</t>
  </si>
  <si>
    <t>TỔNG KẾT THI ĐUA - TUẦN 15 - KHỐI 11</t>
  </si>
  <si>
    <t>Điểm thưởng tham gia Olympic Tiếng Anh</t>
  </si>
  <si>
    <t xml:space="preserve">								</t>
  </si>
  <si>
    <t>(+1):  từ 11/1 đến 11/14</t>
  </si>
  <si>
    <t xml:space="preserve">11/3: Vắng KP: Hoàng Đức (6/12)  Trễ: Tuấn Kiệt (10/12)									</t>
  </si>
  <si>
    <t xml:space="preserve">11/6: Vắng KP: Quốc Huy (4+5/12), Nhật Kha (4/12), Mai Ngọc, Nguyên Kha, Tấn Long (5/12), Đình Quyền (6/12)  Trễ: Quỳnh Anh (6/12),Ngọc Nhân,Đình Quyền,Nhật An, Nhật Trường (11/12)									</t>
  </si>
  <si>
    <t>Nhất (+2,5): 11/12</t>
  </si>
  <si>
    <t xml:space="preserve">11/7: Vắng KP: Quang Minh A(3/12)  Trễ: Gia Bảo (11/12)									</t>
  </si>
  <si>
    <t>Nhì (+2): 11/14</t>
  </si>
  <si>
    <t xml:space="preserve">11/8: Vắng KP: Minh Thư (3+ 5/12),                                                     </t>
  </si>
  <si>
    <t>Ba (+1,5): 11/8; 11/10</t>
  </si>
  <si>
    <t xml:space="preserve">11/9: Trễ: Nhất Long (11/12)									</t>
  </si>
  <si>
    <t>Khuyến khích (+1): 11/1; 11/3; 11/6</t>
  </si>
  <si>
    <t>Có tham gia (+0,5): 11/2; 11/4; 11/5; 11/7; 11/9; 11/11; 11/13</t>
  </si>
  <si>
    <t xml:space="preserve">11/14: Vắng KP: Thanh Huyền (9/12)									</t>
  </si>
  <si>
    <t xml:space="preserve">Điểm thưởng Giải bóng đá nam </t>
  </si>
  <si>
    <t>Nhất (+2,5): 11/9</t>
  </si>
  <si>
    <t>Nhì (+2): 11/6</t>
  </si>
  <si>
    <t>Ba (+1,5): 11/2</t>
  </si>
  <si>
    <t>Khuyến khích (+1): 11/4</t>
  </si>
  <si>
    <t>Có tham gia (+0,5): 11/1, 11/3, 11/5, 11/7, 11/8, 11/10, 11/11, 11/12, 11/13, 11/14</t>
  </si>
  <si>
    <t>Nhì (+2): 11/1</t>
  </si>
  <si>
    <t>Ba (+1,5): 11/5; 11/13</t>
  </si>
  <si>
    <t>Khuyến khích (+1): 11/7, 11/10</t>
  </si>
  <si>
    <t>TỔNG KẾT THI ĐUA - TUẦN 16 - KHỐI 11</t>
  </si>
  <si>
    <t xml:space="preserve">11/2: Vắng KP: Minh Phước ( Tiết 1, 10/12)           Trễ: Khánh Việt, Quỳnh Anh, Tiến Thạnh									</t>
  </si>
  <si>
    <t xml:space="preserve">11/3: Mang hộp xốp vào trường+ ăn trong lớp: Lan Phương									</t>
  </si>
  <si>
    <t xml:space="preserve">	</t>
  </si>
  <si>
    <t xml:space="preserve">11/5: Nói tục: Phước Duy									</t>
  </si>
  <si>
    <t xml:space="preserve">11/6: Vắng KP: Đình Quyền, Ngọc Nhân ( 10/12), Quỳnh Anh ( 11/12)									</t>
  </si>
  <si>
    <t xml:space="preserve">11/7: Trễ: Gia bảo, Quang Minh              Nói tục: Quốc Nhật									</t>
  </si>
  <si>
    <t xml:space="preserve">11/8: Vắng KP: Viết Thắng ( chiều 11/12)          Trễ: Minh Tuệ , Ánh Tuyết, Quốc Huy, Duy Luân									</t>
  </si>
  <si>
    <t xml:space="preserve">11/9: Trễ: Nhật Đăng             Mang thức ăn vào lớp: Tịnh Văn									</t>
  </si>
  <si>
    <t xml:space="preserve">11/10: Mang thức ăn hộp xốp vào trường: Mai Linh									</t>
  </si>
  <si>
    <t xml:space="preserve">11/11: Trễ: Thanh Bình, Huy Hoàng									</t>
  </si>
  <si>
    <t xml:space="preserve">11/14: Vắng KP: Phước Hưng ( 11/12) , Nguyễn Ngọc Hân ( QP 12/12)        Trễ: Mỹ Anh          VPĐP: Phương Thảo									</t>
  </si>
  <si>
    <t>TỔNG KẾT THI ĐUA - TUẦN 17 - KHỐI 11</t>
  </si>
  <si>
    <t>Vi phạm kiểm tra nền nếp: 11/11, 11/14, 11/4</t>
  </si>
  <si>
    <t xml:space="preserve">11/2: Không cất bản tên lớp sau chào cờ( 22/12)									</t>
  </si>
  <si>
    <t>Vi phạm giờ chào cờ: 11/11, 11/14, 11/2, 11/4</t>
  </si>
  <si>
    <t xml:space="preserve">11/3: Vắng KP: Phan Nam ( TD 17/12)                     SDĐT giờ học: Minh Đức                                                                        </t>
  </si>
  <si>
    <t>Không nhận xét thi đua: 11/6, 11/8, 11/12</t>
  </si>
  <si>
    <t>Điểm thưởng văn nghệ Kỷ niệm ngày thành lập Quân đội Nhân dân Việt Nam</t>
  </si>
  <si>
    <t xml:space="preserve">11/4: Trễ + đưa ảnh cũ báo hư xe: Quốc Bảo									</t>
  </si>
  <si>
    <t>(+2): 11/10, 11/14</t>
  </si>
  <si>
    <t xml:space="preserve">11/6: Vắng KP: Đình Quyền ( 19/12)             Trễ+VPĐP: Ngọc Nhân         Ăn tgrong lớp: Lương Thuần, Khánh Ngọc, Quỳnh Anh, Linh Chi									</t>
  </si>
  <si>
    <t>(+0,5): 11/3</t>
  </si>
  <si>
    <t xml:space="preserve">11/7: Trễ + đưa ảnh cũ báo hư xe: Tiến Đạt									</t>
  </si>
  <si>
    <t xml:space="preserve">11/8: Trốn tiết chào cờ: Gia Bảo, Quang Huy, Khánh Quỳnh									</t>
  </si>
  <si>
    <t xml:space="preserve">11/9: Vắng KP: Như Ngọc ( QP 18/12)									</t>
  </si>
  <si>
    <t xml:space="preserve">11/11: Trễ: Tuấn Kiệt (26/12)									</t>
  </si>
  <si>
    <t xml:space="preserve">11/14: Trễ: Thanh Thủy, Đức Nguyên       VPĐP: Hoàng Oanh									</t>
  </si>
  <si>
    <t>TỔNG KẾT THI ĐUA - TUẦN 18 + 19 - KHỐI 11</t>
  </si>
  <si>
    <t xml:space="preserve">11/6: Vắng KP: Quốc Huy( 25+31/12)									</t>
  </si>
  <si>
    <t>(+1): 11/9, 11/11, 11/12, 11/14</t>
  </si>
  <si>
    <t xml:space="preserve">11/8: Trễ: Hữu Long									</t>
  </si>
  <si>
    <t>(+0,5): 11/5, 11/6, 11/8</t>
  </si>
  <si>
    <t xml:space="preserve">11/11: SDĐT giờ học: Phước An, Bảo Trí									</t>
  </si>
  <si>
    <t xml:space="preserve">11/12: Vắng KP: Gia Như ( QP 31/12)									</t>
  </si>
  <si>
    <t xml:space="preserve">11/14: Vắng KP: Đức Nguyên ( 26/12)									</t>
  </si>
  <si>
    <t>(+1): 11/14</t>
  </si>
  <si>
    <t>(+1,5): 11/1; 11/5; 11/13</t>
  </si>
  <si>
    <t>TỔNG KẾT THI ĐUA - TUẦN 1 + 2  - KHỐI 12</t>
  </si>
  <si>
    <t>12/1</t>
  </si>
  <si>
    <t>12/2</t>
  </si>
  <si>
    <t>12/3</t>
  </si>
  <si>
    <t>12/4</t>
  </si>
  <si>
    <t>12/5</t>
  </si>
  <si>
    <t>12/6</t>
  </si>
  <si>
    <t>12/7</t>
  </si>
  <si>
    <t>12/8</t>
  </si>
  <si>
    <t>12/9</t>
  </si>
  <si>
    <t>12/10</t>
  </si>
  <si>
    <t>12/11</t>
  </si>
  <si>
    <t>12/12</t>
  </si>
  <si>
    <t>12/13</t>
  </si>
  <si>
    <t>12/14</t>
  </si>
  <si>
    <t xml:space="preserve">Vi phạm: </t>
  </si>
  <si>
    <t xml:space="preserve">12/1: Trễ: Bá Quân(08/9), Nguyên Quân (09/9)									</t>
  </si>
  <si>
    <t>(+1): 12/1</t>
  </si>
  <si>
    <t xml:space="preserve">12/2: Vắng KP: Lê Huy, Xuân Khải (29/8)  VPTPĐP: Anh Nhật, Minh Quân,Tùng Nhân, Bảo Nhật, Minh Trí (28/8+ 10/9)  Trễ: Duy Tài (29/8) Thanh Quang (11/9)									</t>
  </si>
  <si>
    <t>(+0,5): 12/4, 12/5, 12/8, 12/9, 12/12, 12/13, 12/14</t>
  </si>
  <si>
    <t xml:space="preserve">12/3: Trễ: Công Tiến(29/8)   VPĐP: Quốc Đạt (12/9)									</t>
  </si>
  <si>
    <t>Điểm thưởng lớp tổ chức ĐH Chi đoàn mẫu</t>
  </si>
  <si>
    <t xml:space="preserve">12/4: Vắng KP: Quang Thiện (29/8), Thành Đạt, Thành Nhân, Thái Quý (29/8)  VPTP: Minh Sơn (09/9) Trễ: Bảo Minh (11/9)									</t>
  </si>
  <si>
    <t>(+2): 12/1</t>
  </si>
  <si>
    <t xml:space="preserve">12/5: Trễ: Diễm Tú (29/8)									</t>
  </si>
  <si>
    <t xml:space="preserve">12/6: Vắng KP: Ngọc Trân (29/8)									</t>
  </si>
  <si>
    <t xml:space="preserve">12/7: Trễ: Nam Khánh (29/8)  VPĐP: Thanh Trúc (29/8)									</t>
  </si>
  <si>
    <t xml:space="preserve">12/8: Đan Nhã (29/8), Đôn Nhật (29/8), Đăng Quân (29/8)  Trễ: Bảo Ngọc (11/9)									</t>
  </si>
  <si>
    <t xml:space="preserve">12/9: VPĐPTP: Quang Vinh (28/8) , Đắc Quang (29/8) Gia Minh (10/9)									</t>
  </si>
  <si>
    <t xml:space="preserve">12/10: VPĐP: Chiêu Nguyên, Ngọc Thanh (28/8)									</t>
  </si>
  <si>
    <t xml:space="preserve">12/11: Vắng KP: Thùy Linh, Đại Sơn, Chơn Vinh (29/8)									</t>
  </si>
  <si>
    <t xml:space="preserve">12/12: VPTPĐP: Mỹ Huyền, Bảo Linh (28/8)									</t>
  </si>
  <si>
    <t xml:space="preserve">12/13: VPTP: Quỳnh Anh, Bảo Ngọc (29/8)   Trễ + VPĐP: Bảo Ngọc (09/9) Trễ Hải Anh (09/9)									</t>
  </si>
  <si>
    <t xml:space="preserve">12/14: Vắng KP: Khánh Châu, Bảo Hân(29/8)  Trễ: Nhật Liên									</t>
  </si>
  <si>
    <t>TỔNG KẾT THI ĐUA - TUẦN 3  - KHỐI 12</t>
  </si>
  <si>
    <t xml:space="preserve">12/1: Vắng KP: Phước Đạt (16/9)   VPĐP: Văn Duy (16/9)									</t>
  </si>
  <si>
    <t xml:space="preserve">12/2: VPĐP: Tiến Nhật (17/9), Anh Nhật, Trọng  Phước (18/9)									</t>
  </si>
  <si>
    <t>(+0,5):  12/8, 12/9, 12/12, 12/13, 12/14</t>
  </si>
  <si>
    <t xml:space="preserve">12/3: VPĐP: Thiện Nhân, Công Tiến, Thảo Vân (16/9)  									</t>
  </si>
  <si>
    <t xml:space="preserve">12/4: Vắng KP: Thành Đạt (12/9)   VPĐP: Bảo Minh (18/9)									</t>
  </si>
  <si>
    <t xml:space="preserve">12/5: VPĐP: Mạnh Vỹ (16/9), Quang Đạt (17/9)  									</t>
  </si>
  <si>
    <t xml:space="preserve">12/6: VPĐP: Mạnh Hải, Khánh Quỳnh, Mỹ Uyên (16/9)  Trễ: Ngọc Trân (17/9)									</t>
  </si>
  <si>
    <t>(+1): từ 12/1 đến 12/14</t>
  </si>
  <si>
    <t xml:space="preserve">12/7: VPĐP: Quang Dương, Ngân Hà, Bảo Trâm (16/9), Kiến Trung (17/9)									</t>
  </si>
  <si>
    <t xml:space="preserve">12/8: Vệ sinh phòng học bẩn (11/9) ; Không cất bản tên lớp (15/9); VPĐP: Đan Nhã (16/9), Đăng Quân (18/9)									</t>
  </si>
  <si>
    <t xml:space="preserve">12/9: Vệ sinh phòng học bẩn (11/9)									</t>
  </si>
  <si>
    <t>Nhất (+2,5): 12/6, 12/5</t>
  </si>
  <si>
    <t xml:space="preserve">12/11: VPĐP: Minh Anh, Chơn Vinh (18/9)									</t>
  </si>
  <si>
    <t>Nhì (+2): 12/9, 12/12</t>
  </si>
  <si>
    <t xml:space="preserve">12/12: VPĐP: Nhật Hoàng (18/9)									</t>
  </si>
  <si>
    <t>Ba (+1,5): 12/2, 12/14, 12/4, 12/7</t>
  </si>
  <si>
    <t xml:space="preserve">12/14: VPĐP: Thảo Nhi (18/9)									</t>
  </si>
  <si>
    <t>K/Khích (+1): 12/3, 12/8, 12/10, 12/1, 12/11, 12/13</t>
  </si>
  <si>
    <t>TỔNG KẾT THI ĐUA - TUẦN 4 - KHỐI 12</t>
  </si>
  <si>
    <t>Ổn định chậm giờ chào cờ: 12/3, 12/8, 12/6</t>
  </si>
  <si>
    <t xml:space="preserve">12/2: VPĐP: Anh Nhật (22/9)									</t>
  </si>
  <si>
    <t>Không nhận xét thi đua: 12/7, 12/8</t>
  </si>
  <si>
    <t>(+0,5): 12/5, 12/8, 12/9, 12/12, 12/13, 12/14</t>
  </si>
  <si>
    <t xml:space="preserve">12/5: Đem hộp xốp vào trường+ Ăn trong lớp: Quang Dũng									</t>
  </si>
  <si>
    <t>Không họp trực bào (-1): 12/7</t>
  </si>
  <si>
    <t xml:space="preserve">12/6: VPĐP: Minh Quân (23/9)									</t>
  </si>
  <si>
    <t xml:space="preserve">12/10: VPĐP: Duy Cường (22/9)  Không nộp sổ Đầu bài (chiều 25/9)									</t>
  </si>
  <si>
    <t xml:space="preserve">12/11: Vắng KP: Phương Nghi (23/9)   Ăn trong lớp: N.N.Bảo Hân (23/9)	     Vi phạm đồng phục (22/9): Ngọc Châu								</t>
  </si>
  <si>
    <t xml:space="preserve">12/13: VPĐP+ Trễ: Hoàng Đạt (24/9)  Trễ: Bảo Thịnh (24/9)	   Vi phạm đồng phục: Quốc Bảo								</t>
  </si>
  <si>
    <t>TỔNG KẾT THI ĐUA - TUẦN 5 - KHỐI 12</t>
  </si>
  <si>
    <t>Quên cộng sổ đầu bài: 12/9</t>
  </si>
  <si>
    <t xml:space="preserve">12/2: VPĐP: Ngọc Châu, Thái Châu (30/9)  Trễ: Trung Hiếu (02/10)									</t>
  </si>
  <si>
    <t>Vi phạm giờ chào cờ (29/9): 12/7, 12/8, 12/11, 12/13, 12/14, 12/2.</t>
  </si>
  <si>
    <t xml:space="preserve">12/3: VPĐP: Như Ý (30/9)  Trễ: Nguyễn Bảo (03/10)									</t>
  </si>
  <si>
    <t xml:space="preserve">Vắng rèn luyện Đoàn viên: Quốc Đạt (12/3); Đan Nhã, Bảo Ngọc 12/8; Chơn Vinh 12/11; Mỹ Uyên 12/6; </t>
  </si>
  <si>
    <t xml:space="preserve">12/4: Ăn trong lớp: Thanh Tâm(01/10)									</t>
  </si>
  <si>
    <t xml:space="preserve">12/5: VPĐP: Quỳnh giao, Bảo Ngọc, Bảo Phi, Anh Thư (30/9)									</t>
  </si>
  <si>
    <t xml:space="preserve">12/6: Vắng KP: Xuân Thành (24/9)  VPĐP: Thảo Nhiên, Hà Phương, Anh Trâm (30/9)									</t>
  </si>
  <si>
    <t xml:space="preserve">12/7: VPĐP: Ngân Hà, Lam Khanh,Tuyết nhung,Thanh Thảo, Bảo San, Bảo Trâm, Hoài Trâm (30/9), Khánh Hưng (01/10)									</t>
  </si>
  <si>
    <t>(+1): 12/1, 12/2, 12/3, 12/4, 12/5, 12/6, 12/7, 12/8, 12/9, 12/10, 12/11, 12/12, 12/13, 12/14</t>
  </si>
  <si>
    <t xml:space="preserve">12/8: VPĐP: Phương Chi, Gia Hân, Phương Hiền, Minh Khánh, Đan Nhã, Hoàng Nhi, Bảo Nhi, Uyên Nhi, Yến Nhi, Bảo Trâm, Như Ý (30/9)									</t>
  </si>
  <si>
    <t xml:space="preserve">12/9: VPĐP: Minh Quân (29/9), Khánh Ly, Thùy Nhi (30/9)  Trễ: Nhật Quang (03/10)									</t>
  </si>
  <si>
    <t>(+1): 12/1, 12/2, 12/3, 12/4, 12/5, 12/6, 12/7, 12/8, 12/9, 12/10, 12/12, 12/13, 12/14</t>
  </si>
  <si>
    <t xml:space="preserve">12/10: VPĐP: Chiêu Nguyên, Thụy Quân, Thanh Thảo, Huyền Trân, Minh Uyên (30/9)									</t>
  </si>
  <si>
    <t>Điểm thưởng các lớp tham gia ngày hội "Du học Nhật Bản"</t>
  </si>
  <si>
    <t xml:space="preserve">12/11: VPĐP: Thùy Linh, Thùy Nhung (30/9)  Trễ: Trung Kiên (02/10)									</t>
  </si>
  <si>
    <t>(+1): 12/10, 12/13</t>
  </si>
  <si>
    <t xml:space="preserve">12/12: VPĐP: Hồ Hảo, Bảo Linh, Ngọc Linh, Thanh Lam, Nguyễn U Nhi, Trần Xuân (30/9)									</t>
  </si>
  <si>
    <t xml:space="preserve">12/13: VPĐP: Hải Anh, Phương Uyên (01/10)  Đem hộp xốp vào trường: Minh Thủy (03/10)									</t>
  </si>
  <si>
    <t>TỔNG KẾT THI ĐUA - TUẦN 6 - KHỐI 12</t>
  </si>
  <si>
    <t>Mất trật tự giờ chào cờ: 12/2, 12/6, 12/7, 12/9</t>
  </si>
  <si>
    <t xml:space="preserve">12/2: Trễ: Duy Tài (08/10)    MTT: Bảo Nhật, Minh Quân (08/10)   									</t>
  </si>
  <si>
    <t xml:space="preserve">12/3: Trễ: Đức Huynh (08/10), Anh Khoa (09/10)									</t>
  </si>
  <si>
    <t>(+1): 12/1, 12/3, 12/4, 12/5, 12/6, 12/7, 12/8, 12/9, 12/10, 12,/11, 12/12, 12/13, 12/14</t>
  </si>
  <si>
    <t xml:space="preserve">12/5: Đi xe PK lớn đến trường: Mạnh Vỹ (07/10)   Trễ: Đình Tiến (09/10)									</t>
  </si>
  <si>
    <t xml:space="preserve">12/6: Trễ: Quốc Khánh (09/10)									</t>
  </si>
  <si>
    <t xml:space="preserve">12/7: Trễ: Thúy Ngân (09/10)  									</t>
  </si>
  <si>
    <t xml:space="preserve">12/8: Trễ: Minh Nhật (08/10), Phương Thanh (09/10)									</t>
  </si>
  <si>
    <t xml:space="preserve">12/9: Trễ: Minh Trí (08/10)									</t>
  </si>
  <si>
    <t xml:space="preserve">12/13: VPĐP: Anh Quân (08/10)									</t>
  </si>
  <si>
    <t>TỔNG KẾT THI ĐUA - TUẦN 7 - KHỐI 12</t>
  </si>
  <si>
    <t xml:space="preserve">12/2: VPĐP: Tùng Nhân (13/10)									</t>
  </si>
  <si>
    <t xml:space="preserve">12/3: Trễ: Gia Kiệt (14/10)									</t>
  </si>
  <si>
    <t>(+0,5): 12/4, 12/5, 12/8, 12/9, 12/13, 12/14</t>
  </si>
  <si>
    <t xml:space="preserve">12/4: Vắng KP: Minh Sơn (03/10)									</t>
  </si>
  <si>
    <t xml:space="preserve">12/8: VPĐP: Đan Nhã(17/10)									</t>
  </si>
  <si>
    <t xml:space="preserve">12/12: Vắng KP: Ngọc Trâm (14/10)									</t>
  </si>
  <si>
    <t xml:space="preserve">12/14: Báo vắng sai (14/10)									</t>
  </si>
  <si>
    <t>TỔNG KẾT THI ĐUA - TUẦN 8 - KHỐI 12</t>
  </si>
  <si>
    <t>Mất trật tự giờ chào cờ: 12/8, 12/10, 12/13, 12/3, 12/5</t>
  </si>
  <si>
    <t xml:space="preserve">12/1: Trễ: Trần B Nhi (21/10)									</t>
  </si>
  <si>
    <t>(+2,5): 12/1, 12/12, 12/13, 12/14</t>
  </si>
  <si>
    <t xml:space="preserve">12/3: Trễ: Giáng Hương (20/10)									</t>
  </si>
  <si>
    <t>(+2): 12/3, 12/4, 12/5, 12/9, 12/10, 12/11</t>
  </si>
  <si>
    <t xml:space="preserve">12/4: Đem hộp xốp vào trường: Thành Nhân (21/10)									</t>
  </si>
  <si>
    <t>(+1,5): 12/2, 12/6, 12/7, 12/8</t>
  </si>
  <si>
    <t xml:space="preserve">12/7: Trễ: Uyên Nhi (20/10)                                                                        </t>
  </si>
  <si>
    <t xml:space="preserve">12/8: Vắng KP: Quốc Bảo (20/10)									</t>
  </si>
  <si>
    <t xml:space="preserve">12/10: Đem ly nhựa vào trường: Ngọc Ánh,Thụy Quân, Diệu Vy (20/10)									</t>
  </si>
  <si>
    <t>(+1): 12/2, 12/8, 12/9</t>
  </si>
  <si>
    <t xml:space="preserve">12/11: Trễ: Bảo Anh, Minh Thư (20/10)									</t>
  </si>
  <si>
    <t xml:space="preserve">				</t>
  </si>
  <si>
    <t>TỔNG KẾT THI ĐUA - TUẦN 9 + 10 + 11 - KHỐI 12</t>
  </si>
  <si>
    <t xml:space="preserve">12/2: Trễ: Trung Hiếu (11/11)   Nói tục: Xuân Khải (13/11)									</t>
  </si>
  <si>
    <t xml:space="preserve">12/4: VPĐP: Quang Thanh (08/11)									</t>
  </si>
  <si>
    <t xml:space="preserve">12/5: Không đội MBH: Hoàng Nam (14/11)									</t>
  </si>
  <si>
    <t xml:space="preserve">12/6: Vắng KP: Quốc Khánh (08/11)									</t>
  </si>
  <si>
    <t xml:space="preserve">12/8: Vắng KP: Đan Nhã (24/10), Hoài Anh, Đăng Quân (10/11)									</t>
  </si>
  <si>
    <t>TỔNG KẾT THI ĐUA - TUẦN 12 + 13 - KHỐI 12</t>
  </si>
  <si>
    <t>Quên cộng sổ đầu bài: 12/3</t>
  </si>
  <si>
    <t xml:space="preserve">12/1: Trễ: Nguyên Quân (25/11)									</t>
  </si>
  <si>
    <t xml:space="preserve">12/2: Vắng KP: Tùng Nhân (20/11)  Trễ: Trung Hiếu (23/11) , Văn Quân (16/11), Thanh Quang (24/11)                                                                        </t>
  </si>
  <si>
    <t xml:space="preserve">12/3: Vắng KP: Gia Kiệt, Hoàng Trân (20/11), Ngọc Mạnh (24/11)   VPKTGKI: Viết Thiện (Hóa 21/11)									</t>
  </si>
  <si>
    <t xml:space="preserve">12/4: Trễ: Đăng Thạnh (26/11)									</t>
  </si>
  <si>
    <t xml:space="preserve">12/6: Vắng KP: Hữu Hiếu (20/11)									</t>
  </si>
  <si>
    <t xml:space="preserve">12/8: Vắng KP: Đan Nhã (23/11)									</t>
  </si>
  <si>
    <t xml:space="preserve">12/11: Trễ: Diệu Minh (16/11)									</t>
  </si>
  <si>
    <t xml:space="preserve">12/12: Trễ: Bích Phượng (16/11)									</t>
  </si>
  <si>
    <t xml:space="preserve">12/14: Vắng KP: Như Quỳnh (20/11)									</t>
  </si>
  <si>
    <t>TỔNG KẾT THI ĐUA - TUẦN 14 - KHỐI 12</t>
  </si>
  <si>
    <t xml:space="preserve">12/1: Trễ: Phước Đạt (02/12)									</t>
  </si>
  <si>
    <t xml:space="preserve">12/2: Vắng KP: Bảo Nhật (01/12)  Trễ: Thanh Quang (26/11), Ý Nhi (27/11)									</t>
  </si>
  <si>
    <t>(+1): 12/1, 12/2, 12/3, 12/4, 12/9, 12/11, 12/12, 12/13, 12/14</t>
  </si>
  <si>
    <t xml:space="preserve">12/3: Vắng KP: Huy Hoàng (29/11)Trễ: Lê Trân (29/11)									</t>
  </si>
  <si>
    <t xml:space="preserve">12/9: Trễ: Minh Quân (04/12)									</t>
  </si>
  <si>
    <t xml:space="preserve">12/12: VPTP: Bảo Linh (29/11)  VPĐP: Ngọc Minh (03/12)									</t>
  </si>
  <si>
    <t>(+1): 12/1, 12/3, 12/5, 12/7, 12/13, 12/14</t>
  </si>
  <si>
    <t xml:space="preserve">12/14: VPĐP: Quang Minh (03/12)									</t>
  </si>
  <si>
    <t>TỔNG KẾT THI ĐUA - TUẦN 15 - KHỐI 12</t>
  </si>
  <si>
    <t xml:space="preserve">12/2: VPĐP: Minh Quân (10/12), Trễ: Hữu Phúc, Trọng Phước (10/12)									</t>
  </si>
  <si>
    <t xml:space="preserve">12/3: Trễ: Đức Huynh, Nhã Trinh (11/12)									</t>
  </si>
  <si>
    <t>Nhất (+2,5): 12/14</t>
  </si>
  <si>
    <t xml:space="preserve">12/5: Vắng KP: Trần Đức (6/12)  Trễ: Đăng Khoa (11/12)									</t>
  </si>
  <si>
    <t>Nhì (+2): 12/5</t>
  </si>
  <si>
    <t xml:space="preserve">12/10: Trễ: Minh Uyên (11/12)									</t>
  </si>
  <si>
    <t>Ba (+1,5): 12/9; 12/13</t>
  </si>
  <si>
    <t xml:space="preserve">12/14: Vắng KP: Lê Đạt (8/12)									</t>
  </si>
  <si>
    <t>Khuyến khích (+1): 12/3; 12/4</t>
  </si>
  <si>
    <t>Có tham gia (+0,5): 12/1; 12/8; 12/10; 12/12</t>
  </si>
  <si>
    <t>Ba (+1,5): 12/3; 12/13</t>
  </si>
  <si>
    <t>TỔNG KẾT THI ĐUA - TUẦN 16 - KHỐI 12</t>
  </si>
  <si>
    <t>Quên cộng sổ đầu bài: 12/5</t>
  </si>
  <si>
    <t xml:space="preserve">12/2: Vắng KP: Gia Long (15/12)Trễ: Trọng Phước (17/12)   Ăn trong lớp: Tùng Nhân (17/12)									</t>
  </si>
  <si>
    <t xml:space="preserve">12/3: Trễ: Nguyễn Trân (18/12) 									</t>
  </si>
  <si>
    <t xml:space="preserve">12/4: Trễ: Bảo Lộc (15/12)									</t>
  </si>
  <si>
    <t xml:space="preserve">12/7: Trễ: thanh Trúc, Minh Thư (15/12)									</t>
  </si>
  <si>
    <t xml:space="preserve">12/8: Trễ: Đan Nhã (15/12), Gia Hân (16/12)									</t>
  </si>
  <si>
    <t xml:space="preserve">12/9: Đem hộp xốp vào trường: Gia Minh (15/12)   VPĐP: Gia Minh (17/12)									</t>
  </si>
  <si>
    <t xml:space="preserve">12/10: VPĐP: Diệu Vy (15/12), Bảo Trân (17/12)  Trễ: Bảo Ngân (17/12)									</t>
  </si>
  <si>
    <t xml:space="preserve">12/11: VPĐP: Đại Sơn (18/12)									</t>
  </si>
  <si>
    <t xml:space="preserve">12/12: Vắng KP: Thu Hà (15/12)									</t>
  </si>
  <si>
    <t xml:space="preserve">12/13: VPĐP: Mai My (16/12)   Giả đơn Phụ huynh xin phép: Quỳnh Như (18/12)									</t>
  </si>
  <si>
    <t xml:space="preserve">12/14: Đem thức ăn vào lớp: Lê Đạt, Lương Đạt (17/12)									</t>
  </si>
  <si>
    <t>TỔNG KẾT THI ĐUA - TUẦN 17 - KHỐI 12</t>
  </si>
  <si>
    <t xml:space="preserve">12/2: VPTP: Thái Châu (22/12)    Trễ: Bảo Ngọc (26/12)                                                                        </t>
  </si>
  <si>
    <t xml:space="preserve">12/3: Vắng KP: Quốc Đạt, Đức Huynh (18/12) Ăn trong lớp: Thiện Nhân (25/12)      Đem hộp xốp vào trường+ ăn trong lớp: Quốc Đạt (23/12)                                                                        </t>
  </si>
  <si>
    <t xml:space="preserve">12/4: Vắng KP: Công Hiếu, Thành Nhân (18/12)     Ăn trong lớp: Nhật yến (23/12)									</t>
  </si>
  <si>
    <t>(+2): 12/14</t>
  </si>
  <si>
    <t xml:space="preserve">12/5: Vắng KP: Quang Đạt (19/12)                                                                        </t>
  </si>
  <si>
    <t>(+0,5): 12/5</t>
  </si>
  <si>
    <t xml:space="preserve">                                                                  </t>
  </si>
  <si>
    <t xml:space="preserve">12/10: Trễ: Thụy Quân, Minh Uyên (23/12), Bảo Ngân (25/12)    Ăn trong lớp: Thiện Nhân ( 25/12)    									</t>
  </si>
  <si>
    <t xml:space="preserve">12/12: Vắng KP: Phương Trinh (19/12)    Trễ; Lan Hương (23/12)									</t>
  </si>
  <si>
    <t xml:space="preserve">12/13: VPĐP: Trâm Anh, Hoàng Ân, Như Quỳnh (26/12)									</t>
  </si>
  <si>
    <t xml:space="preserve">12/14: VPĐP: Anh Kiệt (26/12)									</t>
  </si>
  <si>
    <t>TỔNG KẾT THI ĐUA - TUẦN 18 + 19 - KHỐI 12</t>
  </si>
  <si>
    <t>Từ ngày: 29/12/2025 đến ngày: 05/01/2025</t>
  </si>
  <si>
    <t xml:space="preserve">12/2: VPTP: Xuân Khải (30/12)   Đem hộp xốp vào trường: Minh Thư (05/01)									</t>
  </si>
  <si>
    <t xml:space="preserve">12/3: Gọi 5 người ngoài trường đuổi đe dọa đánh bạn: Gia Bảo (29/12)									</t>
  </si>
  <si>
    <t xml:space="preserve">12/6: Đánh bạn gây thương tích: Ngọc Trân (29/12)									</t>
  </si>
  <si>
    <t>(+1,5): 12/14</t>
  </si>
  <si>
    <t xml:space="preserve">12/7: Không trả Sổ Đầu bài (31/12)									</t>
  </si>
  <si>
    <t>(+0,5): 12/4, 12/5, 12/5, 12/9, 12/13, 12/14</t>
  </si>
  <si>
    <t xml:space="preserve">12/8: Vắng KP: Bảo Ngọc (30/12)									</t>
  </si>
  <si>
    <t xml:space="preserve">12/11: VPĐP: Hồng Anh (05/12)									</t>
  </si>
  <si>
    <t>(+2): 12/13</t>
  </si>
  <si>
    <t xml:space="preserve">12/12: Trễ: Thùy Ngân, Khánh Nguyên (29/12)									</t>
  </si>
  <si>
    <t>(+1,5): 12/3</t>
  </si>
  <si>
    <t>TRƯỜNG THPT NGUYỄN HUỆ</t>
  </si>
  <si>
    <t>ĐOÀN TRƯỜNG THPT NGUYỄN HUỆ</t>
  </si>
  <si>
    <t>PHONG TRÀO SỐ 1 - KHỐI 10
 TỪ NGÀY 6/9/2025 ĐẾN NGÀY 24/10/2025</t>
  </si>
  <si>
    <t>Khối 10</t>
  </si>
  <si>
    <t>Tuần 1+2</t>
  </si>
  <si>
    <t>Tuần 3</t>
  </si>
  <si>
    <t>Tuần 4</t>
  </si>
  <si>
    <t>Tuần 5</t>
  </si>
  <si>
    <t>Tuần 6</t>
  </si>
  <si>
    <t xml:space="preserve">Tuần 7 </t>
  </si>
  <si>
    <t>Tuần 8</t>
  </si>
  <si>
    <t>Trung bình</t>
  </si>
  <si>
    <t>Vị thứ</t>
  </si>
  <si>
    <t>TP. Huế, ngày 10 tháng 11 năm 2025</t>
  </si>
  <si>
    <t>XÁC NHẬN CỦA BGH</t>
  </si>
  <si>
    <t>T/M BCH ĐOÀN TRƯỜNG</t>
  </si>
  <si>
    <t>Hiệu trưởng</t>
  </si>
  <si>
    <t>Bí thư</t>
  </si>
  <si>
    <t>Đặng Đức Tuệ</t>
  </si>
  <si>
    <t>Dương Phước Dũng</t>
  </si>
  <si>
    <t>PHONG TRÀO SỐ 1 - KHỐI 11
 TỪ NGÀY 6/9/2025 ĐẾN NGÀY 24/10/2025</t>
  </si>
  <si>
    <t>Khối 11</t>
  </si>
  <si>
    <t>PHONG TRÀO SỐ 1 - KHỐI 12
 TỪ NGÀY 6/9/2025 ĐẾN NGÀY 24/10/2025</t>
  </si>
  <si>
    <t>Khối 12</t>
  </si>
  <si>
    <t>PHONG TRÀO SỐ 2 - KHỐI 10
 TỪ NGÀY 27/10/2025 ĐẾN NGÀY 09/01/2026</t>
  </si>
  <si>
    <t>Tuần 9+10+11</t>
  </si>
  <si>
    <t>Tuần 12+13</t>
  </si>
  <si>
    <t>Tuần 14</t>
  </si>
  <si>
    <t>Tuần 15</t>
  </si>
  <si>
    <t>Tuần 16</t>
  </si>
  <si>
    <t xml:space="preserve">Tuần 17 </t>
  </si>
  <si>
    <t>Tuần 18+19</t>
  </si>
  <si>
    <t>PHONG TRÀO SỐ 2 - KHỐI 11
 TỪ NGÀY 27/10/2025 ĐẾN NGÀY 09/01/2026</t>
  </si>
  <si>
    <t>PHONG TRÀO SỐ 2 - KHỐI 12
 TỪ NGÀY 27/10/2025 ĐẾN NGÀY 09/01/2026</t>
  </si>
  <si>
    <t>SƠ KẾT THI ĐUA HỌC KÌ I - KHỐI 10
NĂM HỌC 2025 - 2026</t>
  </si>
  <si>
    <t>KHUNG</t>
  </si>
  <si>
    <t>GỒM CÁC LỚP</t>
  </si>
  <si>
    <t>TỈ LỆ</t>
  </si>
  <si>
    <t>I</t>
  </si>
  <si>
    <t>10/8; 10/7; 10/2; 10/12; 10/4; 10/10; 
10/3; 10/9; 10/1; 10/6</t>
  </si>
  <si>
    <t>95-100%</t>
  </si>
  <si>
    <t>II</t>
  </si>
  <si>
    <t>10/5; 10/11</t>
  </si>
  <si>
    <t>90-95%</t>
  </si>
  <si>
    <t>TP. Huế, ngày ..... tháng ...... năm 2026</t>
  </si>
  <si>
    <t>SƠ KẾT THI ĐUA HỌC KÌ I - KHỐI 11
NĂM HỌC 2025 - 2026</t>
  </si>
  <si>
    <t>11/10; 11/5; 11/1; 11/12; 11/13; 11/4; 
 11/11; 11/3; 11/2; 11/7; 11/9</t>
  </si>
  <si>
    <t>11/14; 11/8; 11/6</t>
  </si>
  <si>
    <t>SƠ KẾT THI ĐUA HỌC KÌ I - KHỐI 12
NĂM HỌC 2025 - 2026</t>
  </si>
  <si>
    <t>12/1; 12/13; 12/14; 12/9; 12/5; 12/12; 
12/10; 12/4; 12/6; 12/11; 12/3; 12/7</t>
  </si>
  <si>
    <t>12/8; 12/2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</si>
</sst>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"/>
    <numFmt numFmtId="166" formatCode="d/m"/>
  </numFmts>
  <fonts count="24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Times New Roman"/>
    </font>
    <font>
      <sz val="12.0"/>
      <color theme="1"/>
      <name val="Times New Roman"/>
    </font>
    <font>
      <sz val="13.0"/>
      <color theme="1"/>
      <name val="Times New Roman"/>
    </font>
    <font/>
    <font>
      <b/>
      <sz val="11.0"/>
      <color theme="1"/>
      <name val="Times New Roman"/>
    </font>
    <font>
      <b/>
      <color theme="1"/>
      <name val="Times New Roman"/>
    </font>
    <font>
      <sz val="11.0"/>
      <color theme="1"/>
      <name val="Times New Roman"/>
    </font>
    <font>
      <b/>
      <sz val="13.0"/>
      <color theme="1"/>
      <name val="Times New Roman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4.0"/>
      <color theme="1"/>
      <name val="Times New Roman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3.0"/>
      <color theme="1"/>
      <name val="Arial"/>
      <scheme val="minor"/>
    </font>
    <font>
      <b/>
      <sz val="14.0"/>
      <color theme="1"/>
      <name val="Times New Roman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4.0"/>
      <color rgb="FF000000"/>
      <name val="&quot;Times New Roman&quot;"/>
    </font>
    <font>
      <b/>
      <sz val="14.0"/>
      <color rgb="FF000000"/>
      <name val="&quot;Times New Roman&quot;"/>
    </font>
    <font>
      <i/>
      <sz val="14.0"/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33">
    <border/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double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thin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top style="double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</border>
    <border>
      <left style="thin">
        <color rgb="FF000000"/>
      </left>
      <top style="hair">
        <color rgb="FF000000"/>
      </top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double">
        <color rgb="FF000000"/>
      </lef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hair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1" xfId="0" applyAlignment="1" applyBorder="1" applyFont="1" applyNumberFormat="1">
      <alignment horizontal="center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6" fillId="0" fontId="5" numFmtId="0" xfId="0" applyBorder="1" applyFont="1"/>
    <xf borderId="5" fillId="0" fontId="3" numFmtId="164" xfId="0" applyAlignment="1" applyBorder="1" applyFont="1" applyNumberFormat="1">
      <alignment horizontal="center" shrinkToFit="0" vertical="bottom" wrapText="1"/>
    </xf>
    <xf borderId="5" fillId="0" fontId="3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7" fillId="0" fontId="5" numFmtId="0" xfId="0" applyBorder="1" applyFont="1"/>
    <xf borderId="8" fillId="0" fontId="5" numFmtId="0" xfId="0" applyBorder="1" applyFont="1"/>
    <xf borderId="9" fillId="0" fontId="3" numFmtId="0" xfId="0" applyAlignment="1" applyBorder="1" applyFont="1">
      <alignment horizontal="center" shrinkToFit="0" vertical="bottom" wrapText="1"/>
    </xf>
    <xf borderId="10" fillId="0" fontId="5" numFmtId="0" xfId="0" applyBorder="1" applyFont="1"/>
    <xf quotePrefix="1" borderId="11" fillId="0" fontId="3" numFmtId="16" xfId="0" applyAlignment="1" applyBorder="1" applyFont="1" applyNumberFormat="1">
      <alignment horizontal="center" vertical="bottom"/>
    </xf>
    <xf borderId="12" fillId="0" fontId="3" numFmtId="164" xfId="0" applyAlignment="1" applyBorder="1" applyFont="1" applyNumberFormat="1">
      <alignment horizontal="center" vertical="bottom"/>
    </xf>
    <xf borderId="13" fillId="0" fontId="3" numFmtId="0" xfId="0" applyAlignment="1" applyBorder="1" applyFont="1">
      <alignment horizontal="center" vertical="bottom"/>
    </xf>
    <xf borderId="14" fillId="0" fontId="1" numFmtId="164" xfId="0" applyAlignment="1" applyBorder="1" applyFont="1" applyNumberFormat="1">
      <alignment horizontal="center" vertical="bottom"/>
    </xf>
    <xf borderId="14" fillId="0" fontId="3" numFmtId="0" xfId="0" applyAlignment="1" applyBorder="1" applyFont="1">
      <alignment horizontal="center" vertical="bottom"/>
    </xf>
    <xf borderId="14" fillId="0" fontId="3" numFmtId="0" xfId="0" applyAlignment="1" applyBorder="1" applyFont="1">
      <alignment horizontal="center" readingOrder="0" vertical="bottom"/>
    </xf>
    <xf borderId="14" fillId="0" fontId="2" numFmtId="0" xfId="0" applyAlignment="1" applyBorder="1" applyFont="1">
      <alignment horizontal="center" vertical="bottom"/>
    </xf>
    <xf borderId="14" fillId="0" fontId="4" numFmtId="0" xfId="0" applyAlignment="1" applyBorder="1" applyFont="1">
      <alignment horizontal="center" vertical="bottom"/>
    </xf>
    <xf borderId="14" fillId="0" fontId="3" numFmtId="164" xfId="0" applyAlignment="1" applyBorder="1" applyFont="1" applyNumberFormat="1">
      <alignment horizontal="center" vertical="bottom"/>
    </xf>
    <xf borderId="15" fillId="0" fontId="1" numFmtId="164" xfId="0" applyAlignment="1" applyBorder="1" applyFont="1" applyNumberFormat="1">
      <alignment horizontal="center" vertical="bottom"/>
    </xf>
    <xf borderId="16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quotePrefix="1" borderId="17" fillId="0" fontId="3" numFmtId="165" xfId="0" applyAlignment="1" applyBorder="1" applyFont="1" applyNumberFormat="1">
      <alignment horizontal="center" vertical="bottom"/>
    </xf>
    <xf borderId="18" fillId="0" fontId="3" numFmtId="0" xfId="0" applyAlignment="1" applyBorder="1" applyFont="1">
      <alignment horizontal="center" vertical="bottom"/>
    </xf>
    <xf borderId="16" fillId="0" fontId="1" numFmtId="164" xfId="0" applyAlignment="1" applyBorder="1" applyFont="1" applyNumberFormat="1">
      <alignment horizontal="center" vertical="bottom"/>
    </xf>
    <xf borderId="16" fillId="0" fontId="3" numFmtId="0" xfId="0" applyAlignment="1" applyBorder="1" applyFont="1">
      <alignment horizontal="center" vertical="bottom"/>
    </xf>
    <xf borderId="16" fillId="0" fontId="3" numFmtId="0" xfId="0" applyAlignment="1" applyBorder="1" applyFont="1">
      <alignment horizontal="center" readingOrder="0" vertical="bottom"/>
    </xf>
    <xf borderId="16" fillId="0" fontId="2" numFmtId="0" xfId="0" applyAlignment="1" applyBorder="1" applyFont="1">
      <alignment horizontal="center" vertical="bottom"/>
    </xf>
    <xf borderId="16" fillId="0" fontId="4" numFmtId="0" xfId="0" applyAlignment="1" applyBorder="1" applyFont="1">
      <alignment horizontal="center" readingOrder="0" vertical="bottom"/>
    </xf>
    <xf borderId="16" fillId="0" fontId="3" numFmtId="164" xfId="0" applyAlignment="1" applyBorder="1" applyFont="1" applyNumberFormat="1">
      <alignment horizontal="center" vertical="bottom"/>
    </xf>
    <xf borderId="19" fillId="0" fontId="1" numFmtId="164" xfId="0" applyAlignment="1" applyBorder="1" applyFont="1" applyNumberFormat="1">
      <alignment horizontal="center" vertical="bottom"/>
    </xf>
    <xf borderId="16" fillId="0" fontId="4" numFmtId="0" xfId="0" applyAlignment="1" applyBorder="1" applyFont="1">
      <alignment horizontal="center" vertical="bottom"/>
    </xf>
    <xf borderId="20" fillId="0" fontId="1" numFmtId="164" xfId="0" applyAlignment="1" applyBorder="1" applyFont="1" applyNumberFormat="1">
      <alignment horizontal="center" vertical="bottom"/>
    </xf>
    <xf borderId="16" fillId="0" fontId="2" numFmtId="0" xfId="0" applyAlignment="1" applyBorder="1" applyFont="1">
      <alignment horizontal="center" readingOrder="0" vertical="bottom"/>
    </xf>
    <xf borderId="21" fillId="0" fontId="1" numFmtId="164" xfId="0" applyAlignment="1" applyBorder="1" applyFont="1" applyNumberFormat="1">
      <alignment horizontal="center" vertical="bottom"/>
    </xf>
    <xf quotePrefix="1" borderId="22" fillId="0" fontId="3" numFmtId="165" xfId="0" applyAlignment="1" applyBorder="1" applyFont="1" applyNumberFormat="1">
      <alignment horizontal="center" vertical="bottom"/>
    </xf>
    <xf borderId="23" fillId="0" fontId="3" numFmtId="164" xfId="0" applyAlignment="1" applyBorder="1" applyFont="1" applyNumberFormat="1">
      <alignment horizontal="center" vertical="bottom"/>
    </xf>
    <xf borderId="24" fillId="0" fontId="3" numFmtId="0" xfId="0" applyAlignment="1" applyBorder="1" applyFont="1">
      <alignment horizontal="center" vertical="bottom"/>
    </xf>
    <xf borderId="25" fillId="0" fontId="1" numFmtId="164" xfId="0" applyAlignment="1" applyBorder="1" applyFont="1" applyNumberFormat="1">
      <alignment horizontal="center" vertical="bottom"/>
    </xf>
    <xf borderId="25" fillId="0" fontId="3" numFmtId="0" xfId="0" applyAlignment="1" applyBorder="1" applyFont="1">
      <alignment horizontal="center" vertical="bottom"/>
    </xf>
    <xf borderId="25" fillId="0" fontId="2" numFmtId="0" xfId="0" applyAlignment="1" applyBorder="1" applyFont="1">
      <alignment horizontal="center" vertical="bottom"/>
    </xf>
    <xf borderId="25" fillId="0" fontId="4" numFmtId="0" xfId="0" applyAlignment="1" applyBorder="1" applyFont="1">
      <alignment horizontal="center" vertical="bottom"/>
    </xf>
    <xf borderId="25" fillId="0" fontId="2" numFmtId="0" xfId="0" applyAlignment="1" applyBorder="1" applyFont="1">
      <alignment horizontal="center" readingOrder="0" vertical="bottom"/>
    </xf>
    <xf borderId="25" fillId="0" fontId="3" numFmtId="164" xfId="0" applyAlignment="1" applyBorder="1" applyFont="1" applyNumberFormat="1">
      <alignment horizontal="center" vertical="bottom"/>
    </xf>
    <xf borderId="26" fillId="0" fontId="1" numFmtId="164" xfId="0" applyAlignment="1" applyBorder="1" applyFont="1" applyNumberFormat="1">
      <alignment horizontal="center" vertical="bottom"/>
    </xf>
    <xf borderId="25" fillId="0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14" fillId="0" fontId="2" numFmtId="0" xfId="0" applyAlignment="1" applyBorder="1" applyFont="1">
      <alignment horizontal="center" readingOrder="0" vertical="bottom"/>
    </xf>
    <xf borderId="16" fillId="0" fontId="8" numFmtId="0" xfId="0" applyAlignment="1" applyBorder="1" applyFont="1">
      <alignment horizontal="center" readingOrder="0" vertical="bottom"/>
    </xf>
    <xf borderId="25" fillId="0" fontId="3" numFmtId="0" xfId="0" applyAlignment="1" applyBorder="1" applyFont="1">
      <alignment horizontal="center" readingOrder="0" vertical="bottom"/>
    </xf>
    <xf borderId="25" fillId="0" fontId="8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left" readingOrder="0"/>
    </xf>
    <xf borderId="0" fillId="0" fontId="9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14" fillId="0" fontId="4" numFmtId="0" xfId="0" applyAlignment="1" applyBorder="1" applyFont="1">
      <alignment horizontal="center" readingOrder="0" vertical="bottom"/>
    </xf>
    <xf borderId="25" fillId="0" fontId="4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14" fillId="0" fontId="8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16" fillId="0" fontId="12" numFmtId="0" xfId="0" applyAlignment="1" applyBorder="1" applyFont="1">
      <alignment horizontal="center" readingOrder="0" vertical="bottom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horizontal="center"/>
    </xf>
    <xf borderId="0" fillId="0" fontId="7" numFmtId="0" xfId="0" applyAlignment="1" applyFont="1">
      <alignment horizontal="left" readingOrder="0"/>
    </xf>
    <xf borderId="0" fillId="0" fontId="15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4" fillId="0" fontId="12" numFmtId="0" xfId="0" applyAlignment="1" applyBorder="1" applyFont="1">
      <alignment horizontal="center" readingOrder="0" vertical="bottom"/>
    </xf>
    <xf borderId="0" fillId="0" fontId="16" numFmtId="0" xfId="0" applyAlignment="1" applyFont="1">
      <alignment horizontal="center" readingOrder="0" vertical="bottom"/>
    </xf>
    <xf borderId="25" fillId="0" fontId="12" numFmtId="0" xfId="0" applyAlignment="1" applyBorder="1" applyFont="1">
      <alignment horizontal="center" readingOrder="0" vertical="bottom"/>
    </xf>
    <xf borderId="0" fillId="0" fontId="4" numFmtId="0" xfId="0" applyAlignment="1" applyFont="1">
      <alignment vertical="bottom"/>
    </xf>
    <xf borderId="2" fillId="0" fontId="9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readingOrder="0" shrinkToFit="0" vertical="bottom" wrapText="1"/>
    </xf>
    <xf quotePrefix="1" borderId="11" fillId="0" fontId="3" numFmtId="0" xfId="0" applyAlignment="1" applyBorder="1" applyFont="1">
      <alignment horizontal="center" readingOrder="0" vertical="bottom"/>
    </xf>
    <xf borderId="11" fillId="0" fontId="3" numFmtId="0" xfId="0" applyAlignment="1" applyBorder="1" applyFont="1">
      <alignment horizontal="center" readingOrder="0" vertical="bottom"/>
    </xf>
    <xf borderId="27" fillId="0" fontId="3" numFmtId="0" xfId="0" applyAlignment="1" applyBorder="1" applyFont="1">
      <alignment horizontal="center" readingOrder="0" vertical="bottom"/>
    </xf>
    <xf borderId="0" fillId="0" fontId="4" numFmtId="0" xfId="0" applyFont="1"/>
    <xf borderId="0" fillId="0" fontId="9" numFmtId="0" xfId="0" applyAlignment="1" applyFont="1">
      <alignment readingOrder="0"/>
    </xf>
    <xf borderId="0" fillId="0" fontId="15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left" readingOrder="0"/>
    </xf>
    <xf borderId="28" fillId="0" fontId="4" numFmtId="0" xfId="0" applyAlignment="1" applyBorder="1" applyFont="1">
      <alignment horizontal="center" readingOrder="0" vertical="bottom"/>
    </xf>
    <xf borderId="21" fillId="0" fontId="4" numFmtId="0" xfId="0" applyAlignment="1" applyBorder="1" applyFont="1">
      <alignment horizontal="center" readingOrder="0" vertical="bottom"/>
    </xf>
    <xf borderId="7" fillId="0" fontId="4" numFmtId="0" xfId="0" applyAlignment="1" applyBorder="1" applyFont="1">
      <alignment horizontal="center" readingOrder="0" vertical="bottom"/>
    </xf>
    <xf borderId="18" fillId="0" fontId="2" numFmtId="0" xfId="0" applyAlignment="1" applyBorder="1" applyFont="1">
      <alignment horizontal="center" vertical="bottom"/>
    </xf>
    <xf borderId="21" fillId="0" fontId="4" numFmtId="0" xfId="0" applyAlignment="1" applyBorder="1" applyFont="1">
      <alignment horizontal="center" vertical="bottom"/>
    </xf>
    <xf borderId="23" fillId="0" fontId="4" numFmtId="0" xfId="0" applyAlignment="1" applyBorder="1" applyFont="1">
      <alignment horizontal="center" readingOrder="0" vertical="bottom"/>
    </xf>
    <xf quotePrefix="1" borderId="0" fillId="0" fontId="19" numFmtId="0" xfId="0" applyAlignment="1" applyFont="1">
      <alignment horizontal="center" vertical="bottom"/>
    </xf>
    <xf borderId="0" fillId="0" fontId="20" numFmtId="0" xfId="0" applyAlignment="1" applyFont="1">
      <alignment vertical="bottom"/>
    </xf>
    <xf borderId="0" fillId="0" fontId="20" numFmtId="0" xfId="0" applyAlignment="1" applyFont="1">
      <alignment readingOrder="0" vertical="bottom"/>
    </xf>
    <xf quotePrefix="1" borderId="0" fillId="0" fontId="19" numFmtId="0" xfId="0" applyAlignment="1" applyFont="1">
      <alignment horizontal="center" vertical="bottom"/>
    </xf>
    <xf borderId="21" fillId="0" fontId="12" numFmtId="0" xfId="0" applyAlignment="1" applyBorder="1" applyFont="1">
      <alignment horizontal="center" readingOrder="0" vertical="bottom"/>
    </xf>
    <xf borderId="0" fillId="0" fontId="3" numFmtId="0" xfId="0" applyFont="1"/>
    <xf borderId="0" fillId="0" fontId="4" numFmtId="0" xfId="0" applyAlignment="1" applyFont="1">
      <alignment horizontal="left" readingOrder="0"/>
    </xf>
    <xf borderId="0" fillId="0" fontId="21" numFmtId="0" xfId="0" applyAlignment="1" applyFont="1">
      <alignment horizontal="center" readingOrder="0" shrinkToFit="0" vertical="bottom" wrapText="0"/>
    </xf>
    <xf borderId="0" fillId="0" fontId="22" numFmtId="0" xfId="0" applyAlignment="1" applyFont="1">
      <alignment horizontal="center"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0" fillId="0" fontId="21" numFmtId="0" xfId="0" applyAlignment="1" applyFont="1">
      <alignment shrinkToFit="0" vertical="bottom" wrapText="0"/>
    </xf>
    <xf borderId="29" fillId="0" fontId="22" numFmtId="0" xfId="0" applyAlignment="1" applyBorder="1" applyFont="1">
      <alignment readingOrder="0" shrinkToFit="0" vertical="bottom" wrapText="0"/>
    </xf>
    <xf borderId="29" fillId="0" fontId="22" numFmtId="0" xfId="0" applyAlignment="1" applyBorder="1" applyFont="1">
      <alignment horizontal="center" readingOrder="0" shrinkToFit="0" vertical="bottom" wrapText="0"/>
    </xf>
    <xf borderId="16" fillId="0" fontId="21" numFmtId="166" xfId="0" applyAlignment="1" applyBorder="1" applyFont="1" applyNumberFormat="1">
      <alignment horizontal="center" readingOrder="0" shrinkToFit="0" vertical="bottom" wrapText="0"/>
    </xf>
    <xf borderId="18" fillId="0" fontId="21" numFmtId="164" xfId="0" applyAlignment="1" applyBorder="1" applyFont="1" applyNumberFormat="1">
      <alignment horizontal="center" readingOrder="0" shrinkToFit="0" vertical="bottom" wrapText="0"/>
    </xf>
    <xf borderId="18" fillId="0" fontId="21" numFmtId="2" xfId="0" applyAlignment="1" applyBorder="1" applyFont="1" applyNumberFormat="1">
      <alignment horizontal="center" readingOrder="0" shrinkToFit="0" vertical="bottom" wrapText="0"/>
    </xf>
    <xf borderId="18" fillId="0" fontId="21" numFmtId="0" xfId="0" applyAlignment="1" applyBorder="1" applyFont="1">
      <alignment horizontal="center" readingOrder="0" shrinkToFit="0" vertical="bottom" wrapText="0"/>
    </xf>
    <xf borderId="0" fillId="0" fontId="23" numFmtId="0" xfId="0" applyAlignment="1" applyFont="1">
      <alignment horizontal="center" readingOrder="0" shrinkToFit="0" vertical="bottom" wrapText="0"/>
    </xf>
    <xf borderId="30" fillId="0" fontId="22" numFmtId="0" xfId="0" applyAlignment="1" applyBorder="1" applyFont="1">
      <alignment readingOrder="0" shrinkToFit="0" vertical="bottom" wrapText="0"/>
    </xf>
    <xf borderId="30" fillId="0" fontId="22" numFmtId="0" xfId="0" applyAlignment="1" applyBorder="1" applyFont="1">
      <alignment horizontal="center" readingOrder="0" shrinkToFit="0" vertical="bottom" wrapText="0"/>
    </xf>
    <xf borderId="12" fillId="0" fontId="21" numFmtId="166" xfId="0" applyAlignment="1" applyBorder="1" applyFont="1" applyNumberFormat="1">
      <alignment horizontal="center" readingOrder="0" shrinkToFit="0" vertical="bottom" wrapText="0"/>
    </xf>
    <xf borderId="31" fillId="0" fontId="21" numFmtId="164" xfId="0" applyAlignment="1" applyBorder="1" applyFont="1" applyNumberFormat="1">
      <alignment horizontal="center" readingOrder="0" shrinkToFit="0" vertical="bottom" wrapText="0"/>
    </xf>
    <xf borderId="31" fillId="0" fontId="21" numFmtId="2" xfId="0" applyAlignment="1" applyBorder="1" applyFont="1" applyNumberFormat="1">
      <alignment horizontal="center" readingOrder="0" shrinkToFit="0" vertical="bottom" wrapText="0"/>
    </xf>
    <xf borderId="31" fillId="0" fontId="21" numFmtId="0" xfId="0" applyAlignment="1" applyBorder="1" applyFont="1">
      <alignment horizontal="center" readingOrder="0" shrinkToFit="0" vertical="bottom" wrapText="0"/>
    </xf>
    <xf borderId="16" fillId="0" fontId="21" numFmtId="0" xfId="0" applyAlignment="1" applyBorder="1" applyFont="1">
      <alignment horizontal="center" readingOrder="0" shrinkToFit="0" vertical="bottom" wrapText="0"/>
    </xf>
    <xf borderId="25" fillId="0" fontId="21" numFmtId="0" xfId="0" applyAlignment="1" applyBorder="1" applyFont="1">
      <alignment horizontal="center" readingOrder="0" shrinkToFit="0" vertical="bottom" wrapText="0"/>
    </xf>
    <xf borderId="0" fillId="0" fontId="21" numFmtId="0" xfId="0" applyAlignment="1" applyFont="1">
      <alignment horizontal="center" shrinkToFit="0" vertical="bottom" wrapText="0"/>
    </xf>
    <xf borderId="24" fillId="0" fontId="21" numFmtId="164" xfId="0" applyAlignment="1" applyBorder="1" applyFont="1" applyNumberFormat="1">
      <alignment horizontal="center" readingOrder="0" shrinkToFit="0" vertical="bottom" wrapText="0"/>
    </xf>
    <xf borderId="24" fillId="0" fontId="21" numFmtId="2" xfId="0" applyAlignment="1" applyBorder="1" applyFont="1" applyNumberFormat="1">
      <alignment horizontal="center" readingOrder="0" shrinkToFit="0" vertical="bottom" wrapText="0"/>
    </xf>
    <xf borderId="24" fillId="0" fontId="21" numFmtId="0" xfId="0" applyAlignment="1" applyBorder="1" applyFont="1">
      <alignment horizontal="center" readingOrder="0" shrinkToFit="0" vertical="bottom" wrapText="0"/>
    </xf>
    <xf borderId="2" fillId="0" fontId="22" numFmtId="0" xfId="0" applyAlignment="1" applyBorder="1" applyFont="1">
      <alignment horizontal="center" readingOrder="0" shrinkToFit="0" vertical="bottom" wrapText="0"/>
    </xf>
    <xf borderId="2" fillId="0" fontId="21" numFmtId="0" xfId="0" applyAlignment="1" applyBorder="1" applyFont="1">
      <alignment horizontal="center" readingOrder="0" shrinkToFit="0" vertical="bottom" wrapText="0"/>
    </xf>
    <xf borderId="30" fillId="0" fontId="23" numFmtId="0" xfId="0" applyAlignment="1" applyBorder="1" applyFont="1">
      <alignment horizontal="center" readingOrder="0" shrinkToFit="0" vertical="bottom" wrapText="0"/>
    </xf>
    <xf borderId="32" fillId="0" fontId="21" numFmtId="164" xfId="0" applyAlignment="1" applyBorder="1" applyFont="1" applyNumberFormat="1">
      <alignment horizontal="center" readingOrder="0" shrinkToFit="0" vertical="bottom" wrapText="0"/>
    </xf>
    <xf borderId="32" fillId="0" fontId="21" numFmtId="2" xfId="0" applyAlignment="1" applyBorder="1" applyFont="1" applyNumberFormat="1">
      <alignment horizontal="center" readingOrder="0" shrinkToFit="0" vertical="bottom" wrapText="0"/>
    </xf>
    <xf borderId="32" fillId="0" fontId="21" numFmtId="0" xfId="0" applyAlignment="1" applyBorder="1" applyFont="1">
      <alignment horizontal="center" readingOrder="0" shrinkToFit="0" vertical="bottom" wrapText="0"/>
    </xf>
    <xf borderId="2" fillId="0" fontId="21" numFmtId="0" xfId="0" applyAlignment="1" applyBorder="1" applyFont="1">
      <alignment horizontal="center" readingOrder="0" vertical="bottom"/>
    </xf>
    <xf borderId="2" fillId="0" fontId="21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13"/>
  </cols>
  <sheetData>
    <row r="1">
      <c r="A1" s="1" t="s">
        <v>0</v>
      </c>
      <c r="U1" s="2"/>
      <c r="V1" s="3"/>
      <c r="W1" s="3"/>
      <c r="X1" s="3"/>
      <c r="Y1" s="3"/>
      <c r="Z1" s="3"/>
    </row>
    <row r="2">
      <c r="A2" s="1" t="s">
        <v>1</v>
      </c>
      <c r="U2" s="2"/>
      <c r="V2" s="3"/>
      <c r="W2" s="3"/>
      <c r="X2" s="3"/>
      <c r="Y2" s="3"/>
      <c r="Z2" s="3"/>
    </row>
    <row r="3">
      <c r="A3" s="2"/>
      <c r="B3" s="4"/>
      <c r="C3" s="2"/>
      <c r="D3" s="2"/>
      <c r="E3" s="5"/>
      <c r="F3" s="5"/>
      <c r="G3" s="6"/>
      <c r="H3" s="6"/>
      <c r="I3" s="5"/>
      <c r="J3" s="6"/>
      <c r="K3" s="5"/>
      <c r="L3" s="5"/>
      <c r="M3" s="7"/>
      <c r="N3" s="2"/>
      <c r="O3" s="2"/>
      <c r="P3" s="2"/>
      <c r="Q3" s="2"/>
      <c r="R3" s="2"/>
      <c r="S3" s="2"/>
      <c r="T3" s="2"/>
      <c r="U3" s="2"/>
      <c r="V3" s="3"/>
      <c r="W3" s="3"/>
      <c r="X3" s="3"/>
      <c r="Y3" s="3"/>
      <c r="Z3" s="3"/>
    </row>
    <row r="4">
      <c r="A4" s="8" t="s">
        <v>2</v>
      </c>
      <c r="B4" s="9" t="s">
        <v>3</v>
      </c>
      <c r="C4" s="10"/>
      <c r="D4" s="11"/>
      <c r="E4" s="12" t="s">
        <v>4</v>
      </c>
      <c r="F4" s="10"/>
      <c r="G4" s="10"/>
      <c r="H4" s="10"/>
      <c r="I4" s="10"/>
      <c r="J4" s="10"/>
      <c r="K4" s="10"/>
      <c r="L4" s="10"/>
      <c r="M4" s="10"/>
      <c r="N4" s="11"/>
      <c r="O4" s="13" t="s">
        <v>5</v>
      </c>
      <c r="P4" s="10"/>
      <c r="Q4" s="10"/>
      <c r="R4" s="11"/>
      <c r="S4" s="14" t="s">
        <v>6</v>
      </c>
      <c r="T4" s="14" t="s">
        <v>7</v>
      </c>
      <c r="U4" s="6"/>
      <c r="V4" s="3"/>
      <c r="W4" s="3"/>
      <c r="X4" s="3"/>
      <c r="Y4" s="3"/>
      <c r="Z4" s="3"/>
    </row>
    <row r="5">
      <c r="A5" s="15"/>
      <c r="B5" s="16" t="s">
        <v>8</v>
      </c>
      <c r="C5" s="17" t="s">
        <v>9</v>
      </c>
      <c r="D5" s="14" t="s">
        <v>10</v>
      </c>
      <c r="E5" s="17" t="s">
        <v>11</v>
      </c>
      <c r="F5" s="17" t="s">
        <v>12</v>
      </c>
      <c r="G5" s="17" t="s">
        <v>13</v>
      </c>
      <c r="H5" s="17" t="s">
        <v>14</v>
      </c>
      <c r="I5" s="17" t="s">
        <v>15</v>
      </c>
      <c r="J5" s="17" t="s">
        <v>16</v>
      </c>
      <c r="K5" s="17" t="s">
        <v>17</v>
      </c>
      <c r="L5" s="17" t="s">
        <v>18</v>
      </c>
      <c r="M5" s="18" t="s">
        <v>19</v>
      </c>
      <c r="N5" s="14" t="s">
        <v>20</v>
      </c>
      <c r="O5" s="17" t="s">
        <v>21</v>
      </c>
      <c r="P5" s="17" t="s">
        <v>22</v>
      </c>
      <c r="Q5" s="17" t="s">
        <v>23</v>
      </c>
      <c r="R5" s="14" t="s">
        <v>24</v>
      </c>
      <c r="S5" s="19"/>
      <c r="T5" s="19"/>
      <c r="U5" s="6"/>
      <c r="V5" s="3"/>
      <c r="W5" s="3"/>
      <c r="X5" s="3"/>
      <c r="Y5" s="3"/>
      <c r="Z5" s="3"/>
    </row>
    <row r="6">
      <c r="A6" s="20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6"/>
      <c r="V6" s="3"/>
      <c r="W6" s="3"/>
      <c r="X6" s="3"/>
      <c r="Y6" s="3"/>
      <c r="Z6" s="3"/>
    </row>
    <row r="7">
      <c r="A7" s="21">
        <v>10.0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6"/>
      <c r="V7" s="3"/>
      <c r="W7" s="3"/>
      <c r="X7" s="3"/>
      <c r="Y7" s="3"/>
      <c r="Z7" s="3"/>
    </row>
    <row r="8">
      <c r="A8" s="23" t="s">
        <v>25</v>
      </c>
      <c r="B8" s="24">
        <f t="shared" ref="B8:B19" si="1">300-U8</f>
        <v>300</v>
      </c>
      <c r="C8" s="25">
        <v>30.0</v>
      </c>
      <c r="D8" s="26">
        <f t="shared" ref="D8:D19" si="2">B8</f>
        <v>300</v>
      </c>
      <c r="E8" s="27"/>
      <c r="F8" s="28">
        <v>0.5</v>
      </c>
      <c r="G8" s="29"/>
      <c r="H8" s="29"/>
      <c r="I8" s="27"/>
      <c r="J8" s="29"/>
      <c r="K8" s="27"/>
      <c r="L8" s="27"/>
      <c r="M8" s="30"/>
      <c r="N8" s="26">
        <f t="shared" ref="N8:N19" si="3">SUM(E8:M8)</f>
        <v>0.5</v>
      </c>
      <c r="O8" s="29"/>
      <c r="P8" s="29"/>
      <c r="Q8" s="29"/>
      <c r="R8" s="31">
        <f t="shared" ref="R8:R19" si="4">SUM(O8:Q8)</f>
        <v>0</v>
      </c>
      <c r="S8" s="32">
        <f t="shared" ref="S8:S19" si="5">D8-N8+R8</f>
        <v>299.5</v>
      </c>
      <c r="T8" s="33">
        <f t="shared" ref="T8:T19" si="6">RANK(S8,$S$8:$S$19,0)</f>
        <v>6</v>
      </c>
      <c r="U8" s="34">
        <v>0.0</v>
      </c>
      <c r="V8" s="3"/>
      <c r="W8" s="3"/>
      <c r="X8" s="3"/>
      <c r="Y8" s="3"/>
      <c r="Z8" s="3"/>
    </row>
    <row r="9">
      <c r="A9" s="35" t="s">
        <v>26</v>
      </c>
      <c r="B9" s="24">
        <f t="shared" si="1"/>
        <v>300</v>
      </c>
      <c r="C9" s="36">
        <v>30.0</v>
      </c>
      <c r="D9" s="37">
        <f t="shared" si="2"/>
        <v>300</v>
      </c>
      <c r="E9" s="38"/>
      <c r="F9" s="39">
        <v>0.5</v>
      </c>
      <c r="G9" s="40"/>
      <c r="H9" s="40"/>
      <c r="I9" s="38"/>
      <c r="J9" s="40"/>
      <c r="K9" s="38"/>
      <c r="L9" s="38"/>
      <c r="M9" s="41">
        <v>0.5</v>
      </c>
      <c r="N9" s="37">
        <f t="shared" si="3"/>
        <v>1</v>
      </c>
      <c r="O9" s="40"/>
      <c r="P9" s="40"/>
      <c r="Q9" s="40"/>
      <c r="R9" s="42">
        <f t="shared" si="4"/>
        <v>0</v>
      </c>
      <c r="S9" s="43">
        <f t="shared" si="5"/>
        <v>299</v>
      </c>
      <c r="T9" s="33">
        <f t="shared" si="6"/>
        <v>10</v>
      </c>
      <c r="U9" s="34">
        <v>0.0</v>
      </c>
      <c r="V9" s="3"/>
      <c r="W9" s="3"/>
      <c r="X9" s="3"/>
      <c r="Y9" s="3"/>
      <c r="Z9" s="3"/>
    </row>
    <row r="10">
      <c r="A10" s="35" t="s">
        <v>27</v>
      </c>
      <c r="B10" s="24">
        <f t="shared" si="1"/>
        <v>300</v>
      </c>
      <c r="C10" s="36">
        <v>30.0</v>
      </c>
      <c r="D10" s="37">
        <f t="shared" si="2"/>
        <v>300</v>
      </c>
      <c r="E10" s="38"/>
      <c r="F10" s="38"/>
      <c r="G10" s="40"/>
      <c r="H10" s="40"/>
      <c r="I10" s="39">
        <v>0.5</v>
      </c>
      <c r="J10" s="40"/>
      <c r="K10" s="38"/>
      <c r="L10" s="38"/>
      <c r="M10" s="44"/>
      <c r="N10" s="37">
        <f t="shared" si="3"/>
        <v>0.5</v>
      </c>
      <c r="O10" s="40"/>
      <c r="P10" s="40"/>
      <c r="Q10" s="40"/>
      <c r="R10" s="42">
        <f t="shared" si="4"/>
        <v>0</v>
      </c>
      <c r="S10" s="45">
        <f t="shared" si="5"/>
        <v>299.5</v>
      </c>
      <c r="T10" s="33">
        <f t="shared" si="6"/>
        <v>6</v>
      </c>
      <c r="U10" s="34">
        <v>0.0</v>
      </c>
      <c r="V10" s="3"/>
      <c r="W10" s="3"/>
      <c r="X10" s="3"/>
      <c r="Y10" s="3"/>
      <c r="Z10" s="3"/>
    </row>
    <row r="11">
      <c r="A11" s="35" t="s">
        <v>28</v>
      </c>
      <c r="B11" s="24">
        <f t="shared" si="1"/>
        <v>300</v>
      </c>
      <c r="C11" s="36">
        <v>30.0</v>
      </c>
      <c r="D11" s="37">
        <f t="shared" si="2"/>
        <v>300</v>
      </c>
      <c r="E11" s="38"/>
      <c r="F11" s="39">
        <v>2.5</v>
      </c>
      <c r="G11" s="40"/>
      <c r="H11" s="40"/>
      <c r="I11" s="38"/>
      <c r="J11" s="40"/>
      <c r="K11" s="38"/>
      <c r="L11" s="38"/>
      <c r="M11" s="44"/>
      <c r="N11" s="37">
        <f t="shared" si="3"/>
        <v>2.5</v>
      </c>
      <c r="O11" s="40"/>
      <c r="P11" s="40"/>
      <c r="Q11" s="40"/>
      <c r="R11" s="42">
        <f t="shared" si="4"/>
        <v>0</v>
      </c>
      <c r="S11" s="45">
        <f t="shared" si="5"/>
        <v>297.5</v>
      </c>
      <c r="T11" s="33">
        <f t="shared" si="6"/>
        <v>12</v>
      </c>
      <c r="U11" s="34">
        <v>0.0</v>
      </c>
      <c r="V11" s="3"/>
      <c r="W11" s="3"/>
      <c r="X11" s="3"/>
      <c r="Y11" s="3"/>
      <c r="Z11" s="3"/>
    </row>
    <row r="12">
      <c r="A12" s="35" t="s">
        <v>29</v>
      </c>
      <c r="B12" s="24">
        <f t="shared" si="1"/>
        <v>300</v>
      </c>
      <c r="C12" s="36">
        <v>30.0</v>
      </c>
      <c r="D12" s="37">
        <f t="shared" si="2"/>
        <v>300</v>
      </c>
      <c r="E12" s="38"/>
      <c r="F12" s="38"/>
      <c r="G12" s="40"/>
      <c r="H12" s="40"/>
      <c r="I12" s="38"/>
      <c r="J12" s="40"/>
      <c r="K12" s="38"/>
      <c r="L12" s="38"/>
      <c r="M12" s="44"/>
      <c r="N12" s="37">
        <f t="shared" si="3"/>
        <v>0</v>
      </c>
      <c r="O12" s="40"/>
      <c r="P12" s="40"/>
      <c r="Q12" s="46"/>
      <c r="R12" s="42">
        <f t="shared" si="4"/>
        <v>0</v>
      </c>
      <c r="S12" s="45">
        <f t="shared" si="5"/>
        <v>300</v>
      </c>
      <c r="T12" s="33">
        <f t="shared" si="6"/>
        <v>2</v>
      </c>
      <c r="U12" s="34">
        <v>0.0</v>
      </c>
      <c r="V12" s="3"/>
      <c r="W12" s="3"/>
      <c r="X12" s="3"/>
      <c r="Y12" s="3"/>
      <c r="Z12" s="3"/>
    </row>
    <row r="13">
      <c r="A13" s="35" t="s">
        <v>30</v>
      </c>
      <c r="B13" s="24">
        <f t="shared" si="1"/>
        <v>300</v>
      </c>
      <c r="C13" s="36">
        <v>30.0</v>
      </c>
      <c r="D13" s="37">
        <f t="shared" si="2"/>
        <v>300</v>
      </c>
      <c r="E13" s="38"/>
      <c r="F13" s="38"/>
      <c r="G13" s="40"/>
      <c r="H13" s="40"/>
      <c r="I13" s="39">
        <v>0.5</v>
      </c>
      <c r="J13" s="40"/>
      <c r="K13" s="38"/>
      <c r="L13" s="38"/>
      <c r="M13" s="44"/>
      <c r="N13" s="37">
        <f t="shared" si="3"/>
        <v>0.5</v>
      </c>
      <c r="O13" s="40"/>
      <c r="P13" s="40"/>
      <c r="Q13" s="40"/>
      <c r="R13" s="42">
        <f t="shared" si="4"/>
        <v>0</v>
      </c>
      <c r="S13" s="45">
        <f t="shared" si="5"/>
        <v>299.5</v>
      </c>
      <c r="T13" s="33">
        <f t="shared" si="6"/>
        <v>6</v>
      </c>
      <c r="U13" s="34">
        <v>0.0</v>
      </c>
      <c r="V13" s="3"/>
      <c r="W13" s="3"/>
      <c r="X13" s="3"/>
      <c r="Y13" s="3"/>
      <c r="Z13" s="3"/>
    </row>
    <row r="14">
      <c r="A14" s="35" t="s">
        <v>31</v>
      </c>
      <c r="B14" s="24">
        <f t="shared" si="1"/>
        <v>300</v>
      </c>
      <c r="C14" s="36">
        <v>30.0</v>
      </c>
      <c r="D14" s="37">
        <f t="shared" si="2"/>
        <v>300</v>
      </c>
      <c r="E14" s="38"/>
      <c r="F14" s="38"/>
      <c r="G14" s="40"/>
      <c r="H14" s="40"/>
      <c r="I14" s="39">
        <v>0.5</v>
      </c>
      <c r="J14" s="38"/>
      <c r="K14" s="38"/>
      <c r="L14" s="38"/>
      <c r="M14" s="44"/>
      <c r="N14" s="37">
        <f t="shared" si="3"/>
        <v>0.5</v>
      </c>
      <c r="O14" s="40"/>
      <c r="P14" s="40"/>
      <c r="Q14" s="46">
        <v>0.5</v>
      </c>
      <c r="R14" s="42">
        <f t="shared" si="4"/>
        <v>0.5</v>
      </c>
      <c r="S14" s="45">
        <f t="shared" si="5"/>
        <v>300</v>
      </c>
      <c r="T14" s="33">
        <f t="shared" si="6"/>
        <v>2</v>
      </c>
      <c r="U14" s="34">
        <v>0.0</v>
      </c>
      <c r="V14" s="3"/>
      <c r="W14" s="3"/>
      <c r="X14" s="3"/>
      <c r="Y14" s="3"/>
      <c r="Z14" s="3"/>
    </row>
    <row r="15">
      <c r="A15" s="35" t="s">
        <v>32</v>
      </c>
      <c r="B15" s="24">
        <f t="shared" si="1"/>
        <v>300</v>
      </c>
      <c r="C15" s="36">
        <v>30.0</v>
      </c>
      <c r="D15" s="37">
        <f t="shared" si="2"/>
        <v>300</v>
      </c>
      <c r="E15" s="38"/>
      <c r="F15" s="38"/>
      <c r="G15" s="40"/>
      <c r="H15" s="40"/>
      <c r="I15" s="38"/>
      <c r="J15" s="40"/>
      <c r="K15" s="38"/>
      <c r="L15" s="38"/>
      <c r="M15" s="44"/>
      <c r="N15" s="37">
        <f t="shared" si="3"/>
        <v>0</v>
      </c>
      <c r="O15" s="40"/>
      <c r="P15" s="40"/>
      <c r="Q15" s="40"/>
      <c r="R15" s="42">
        <f t="shared" si="4"/>
        <v>0</v>
      </c>
      <c r="S15" s="47">
        <f t="shared" si="5"/>
        <v>300</v>
      </c>
      <c r="T15" s="33">
        <f t="shared" si="6"/>
        <v>2</v>
      </c>
      <c r="U15" s="34">
        <v>0.0</v>
      </c>
      <c r="V15" s="3"/>
      <c r="W15" s="3"/>
      <c r="X15" s="3"/>
      <c r="Y15" s="3"/>
      <c r="Z15" s="3"/>
    </row>
    <row r="16">
      <c r="A16" s="35" t="s">
        <v>33</v>
      </c>
      <c r="B16" s="24">
        <f t="shared" si="1"/>
        <v>300</v>
      </c>
      <c r="C16" s="36">
        <v>30.0</v>
      </c>
      <c r="D16" s="37">
        <f t="shared" si="2"/>
        <v>300</v>
      </c>
      <c r="E16" s="38"/>
      <c r="F16" s="38"/>
      <c r="G16" s="40"/>
      <c r="H16" s="40"/>
      <c r="I16" s="38"/>
      <c r="J16" s="38"/>
      <c r="K16" s="38"/>
      <c r="L16" s="38"/>
      <c r="M16" s="44"/>
      <c r="N16" s="37">
        <f t="shared" si="3"/>
        <v>0</v>
      </c>
      <c r="O16" s="40"/>
      <c r="P16" s="40"/>
      <c r="Q16" s="40"/>
      <c r="R16" s="42">
        <f t="shared" si="4"/>
        <v>0</v>
      </c>
      <c r="S16" s="47">
        <f t="shared" si="5"/>
        <v>300</v>
      </c>
      <c r="T16" s="33">
        <f t="shared" si="6"/>
        <v>2</v>
      </c>
      <c r="U16" s="34">
        <v>0.0</v>
      </c>
      <c r="V16" s="3"/>
      <c r="W16" s="3"/>
      <c r="X16" s="3"/>
      <c r="Y16" s="3"/>
      <c r="Z16" s="3"/>
    </row>
    <row r="17">
      <c r="A17" s="35" t="s">
        <v>34</v>
      </c>
      <c r="B17" s="24">
        <f t="shared" si="1"/>
        <v>300</v>
      </c>
      <c r="C17" s="36">
        <v>30.0</v>
      </c>
      <c r="D17" s="37">
        <f t="shared" si="2"/>
        <v>300</v>
      </c>
      <c r="E17" s="38"/>
      <c r="F17" s="39">
        <v>0.5</v>
      </c>
      <c r="G17" s="40"/>
      <c r="H17" s="40"/>
      <c r="I17" s="38"/>
      <c r="J17" s="40"/>
      <c r="K17" s="38"/>
      <c r="L17" s="38"/>
      <c r="M17" s="44"/>
      <c r="N17" s="37">
        <f t="shared" si="3"/>
        <v>0.5</v>
      </c>
      <c r="O17" s="40"/>
      <c r="P17" s="40"/>
      <c r="Q17" s="46"/>
      <c r="R17" s="42">
        <f t="shared" si="4"/>
        <v>0</v>
      </c>
      <c r="S17" s="43">
        <f t="shared" si="5"/>
        <v>299.5</v>
      </c>
      <c r="T17" s="33">
        <f t="shared" si="6"/>
        <v>6</v>
      </c>
      <c r="U17" s="34">
        <v>0.0</v>
      </c>
      <c r="V17" s="3"/>
      <c r="W17" s="3"/>
      <c r="X17" s="3"/>
      <c r="Y17" s="3"/>
      <c r="Z17" s="3"/>
    </row>
    <row r="18">
      <c r="A18" s="35" t="s">
        <v>35</v>
      </c>
      <c r="B18" s="24">
        <f t="shared" si="1"/>
        <v>300</v>
      </c>
      <c r="C18" s="36">
        <v>30.0</v>
      </c>
      <c r="D18" s="37">
        <f t="shared" si="2"/>
        <v>300</v>
      </c>
      <c r="E18" s="38"/>
      <c r="F18" s="39">
        <v>1.0</v>
      </c>
      <c r="G18" s="40"/>
      <c r="H18" s="40"/>
      <c r="I18" s="38"/>
      <c r="J18" s="40"/>
      <c r="K18" s="38"/>
      <c r="L18" s="38"/>
      <c r="M18" s="44"/>
      <c r="N18" s="37">
        <f t="shared" si="3"/>
        <v>1</v>
      </c>
      <c r="O18" s="40"/>
      <c r="P18" s="40"/>
      <c r="Q18" s="40"/>
      <c r="R18" s="42">
        <f t="shared" si="4"/>
        <v>0</v>
      </c>
      <c r="S18" s="45">
        <f t="shared" si="5"/>
        <v>299</v>
      </c>
      <c r="T18" s="33">
        <f t="shared" si="6"/>
        <v>10</v>
      </c>
      <c r="U18" s="34">
        <v>0.0</v>
      </c>
      <c r="V18" s="3"/>
      <c r="W18" s="3"/>
      <c r="X18" s="3"/>
      <c r="Y18" s="3"/>
      <c r="Z18" s="3"/>
    </row>
    <row r="19">
      <c r="A19" s="48" t="s">
        <v>36</v>
      </c>
      <c r="B19" s="49">
        <f t="shared" si="1"/>
        <v>300</v>
      </c>
      <c r="C19" s="50">
        <v>30.0</v>
      </c>
      <c r="D19" s="51">
        <f t="shared" si="2"/>
        <v>300</v>
      </c>
      <c r="E19" s="52"/>
      <c r="F19" s="52"/>
      <c r="G19" s="53"/>
      <c r="H19" s="53"/>
      <c r="I19" s="52"/>
      <c r="J19" s="53"/>
      <c r="K19" s="52"/>
      <c r="L19" s="52"/>
      <c r="M19" s="54"/>
      <c r="N19" s="51">
        <f t="shared" si="3"/>
        <v>0</v>
      </c>
      <c r="O19" s="53"/>
      <c r="P19" s="53"/>
      <c r="Q19" s="55">
        <v>0.5</v>
      </c>
      <c r="R19" s="56">
        <f t="shared" si="4"/>
        <v>0.5</v>
      </c>
      <c r="S19" s="57">
        <f t="shared" si="5"/>
        <v>300.5</v>
      </c>
      <c r="T19" s="58">
        <f t="shared" si="6"/>
        <v>1</v>
      </c>
      <c r="U19" s="34">
        <v>0.0</v>
      </c>
      <c r="V19" s="3"/>
      <c r="W19" s="3"/>
      <c r="X19" s="3"/>
      <c r="Y19" s="3"/>
      <c r="Z19" s="3"/>
    </row>
    <row r="20">
      <c r="A20" s="3"/>
      <c r="B20" s="3"/>
      <c r="C20" s="3"/>
      <c r="D20" s="3"/>
      <c r="E20" s="59"/>
      <c r="F20" s="59"/>
      <c r="G20" s="60"/>
      <c r="H20" s="60"/>
      <c r="I20" s="59"/>
      <c r="J20" s="60"/>
      <c r="K20" s="59"/>
      <c r="L20" s="59"/>
      <c r="M20" s="6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2"/>
      <c r="B21" s="63" t="s">
        <v>37</v>
      </c>
      <c r="C21" s="3"/>
      <c r="D21" s="3"/>
      <c r="E21" s="59"/>
      <c r="F21" s="59"/>
      <c r="G21" s="60"/>
      <c r="H21" s="64" t="s">
        <v>38</v>
      </c>
      <c r="I21" s="59"/>
      <c r="J21" s="60"/>
      <c r="K21" s="59"/>
      <c r="L21" s="59"/>
      <c r="M21" s="61"/>
      <c r="N21" s="63" t="s">
        <v>39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2"/>
      <c r="B22" s="65" t="s">
        <v>40</v>
      </c>
      <c r="C22" s="3"/>
      <c r="D22" s="3"/>
      <c r="E22" s="59"/>
      <c r="F22" s="59"/>
      <c r="G22" s="60"/>
      <c r="H22" s="64"/>
      <c r="I22" s="59"/>
      <c r="J22" s="60"/>
      <c r="K22" s="59"/>
      <c r="L22" s="59"/>
      <c r="M22" s="61"/>
      <c r="N22" s="65" t="s">
        <v>41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65" t="s">
        <v>42</v>
      </c>
      <c r="C23" s="3"/>
      <c r="D23" s="3"/>
      <c r="E23" s="59"/>
      <c r="F23" s="59"/>
      <c r="G23" s="60"/>
      <c r="H23" s="60"/>
      <c r="I23" s="59"/>
      <c r="J23" s="60"/>
      <c r="K23" s="59"/>
      <c r="L23" s="59"/>
      <c r="M23" s="61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65" t="s">
        <v>43</v>
      </c>
      <c r="C24" s="3"/>
      <c r="D24" s="3"/>
      <c r="E24" s="59"/>
      <c r="F24" s="59"/>
      <c r="G24" s="60"/>
      <c r="H24" s="60"/>
      <c r="I24" s="59"/>
      <c r="J24" s="60"/>
      <c r="K24" s="59"/>
      <c r="L24" s="59"/>
      <c r="M24" s="6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65" t="s">
        <v>44</v>
      </c>
      <c r="C25" s="3"/>
      <c r="D25" s="3"/>
      <c r="E25" s="59"/>
      <c r="F25" s="59"/>
      <c r="G25" s="60"/>
      <c r="H25" s="60"/>
      <c r="I25" s="59"/>
      <c r="J25" s="60"/>
      <c r="K25" s="59"/>
      <c r="L25" s="59"/>
      <c r="M25" s="6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65" t="s">
        <v>45</v>
      </c>
      <c r="C26" s="3"/>
      <c r="D26" s="3"/>
      <c r="E26" s="59"/>
      <c r="F26" s="59"/>
      <c r="G26" s="60"/>
      <c r="H26" s="60"/>
      <c r="I26" s="59"/>
      <c r="J26" s="60"/>
      <c r="K26" s="59"/>
      <c r="L26" s="59"/>
      <c r="M26" s="61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65" t="s">
        <v>46</v>
      </c>
      <c r="C27" s="3"/>
      <c r="D27" s="3"/>
      <c r="E27" s="59"/>
      <c r="F27" s="59"/>
      <c r="G27" s="60"/>
      <c r="H27" s="60"/>
      <c r="I27" s="59"/>
      <c r="J27" s="60"/>
      <c r="K27" s="59"/>
      <c r="L27" s="59"/>
      <c r="M27" s="61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65" t="s">
        <v>47</v>
      </c>
      <c r="C28" s="3"/>
      <c r="D28" s="3"/>
      <c r="E28" s="59"/>
      <c r="F28" s="59"/>
      <c r="G28" s="60"/>
      <c r="H28" s="60"/>
      <c r="I28" s="59"/>
      <c r="J28" s="60"/>
      <c r="K28" s="59"/>
      <c r="L28" s="59"/>
      <c r="M28" s="61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65" t="s">
        <v>48</v>
      </c>
      <c r="C29" s="3"/>
      <c r="D29" s="3"/>
      <c r="E29" s="59"/>
      <c r="F29" s="59"/>
      <c r="G29" s="60"/>
      <c r="H29" s="60"/>
      <c r="I29" s="59"/>
      <c r="J29" s="60"/>
      <c r="K29" s="59"/>
      <c r="L29" s="59"/>
      <c r="M29" s="61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59"/>
      <c r="F30" s="59"/>
      <c r="G30" s="60"/>
      <c r="H30" s="60"/>
      <c r="I30" s="59"/>
      <c r="J30" s="60"/>
      <c r="K30" s="59"/>
      <c r="L30" s="59"/>
      <c r="M30" s="61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59"/>
      <c r="F31" s="59"/>
      <c r="G31" s="60"/>
      <c r="H31" s="60"/>
      <c r="I31" s="59"/>
      <c r="J31" s="60"/>
      <c r="K31" s="59"/>
      <c r="L31" s="59"/>
      <c r="M31" s="6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59"/>
      <c r="F32" s="59"/>
      <c r="G32" s="60"/>
      <c r="H32" s="60"/>
      <c r="I32" s="59"/>
      <c r="J32" s="60"/>
      <c r="K32" s="59"/>
      <c r="L32" s="59"/>
      <c r="M32" s="61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 t="s">
        <v>49</v>
      </c>
      <c r="U33" s="2"/>
      <c r="V33" s="3"/>
      <c r="W33" s="3"/>
      <c r="X33" s="3"/>
      <c r="Y33" s="3"/>
      <c r="Z33" s="3"/>
    </row>
    <row r="34">
      <c r="A34" s="1" t="s">
        <v>50</v>
      </c>
      <c r="U34" s="2"/>
      <c r="V34" s="3"/>
      <c r="W34" s="3"/>
      <c r="X34" s="3"/>
      <c r="Y34" s="3"/>
      <c r="Z34" s="3"/>
    </row>
    <row r="35">
      <c r="A35" s="2"/>
      <c r="B35" s="4"/>
      <c r="C35" s="2"/>
      <c r="D35" s="2"/>
      <c r="E35" s="5"/>
      <c r="F35" s="5"/>
      <c r="G35" s="6"/>
      <c r="H35" s="6"/>
      <c r="I35" s="5"/>
      <c r="J35" s="6"/>
      <c r="K35" s="5"/>
      <c r="L35" s="5"/>
      <c r="M35" s="7"/>
      <c r="N35" s="2"/>
      <c r="O35" s="2"/>
      <c r="P35" s="2"/>
      <c r="Q35" s="2"/>
      <c r="R35" s="2"/>
      <c r="S35" s="2"/>
      <c r="T35" s="2"/>
      <c r="U35" s="2"/>
      <c r="V35" s="3"/>
      <c r="W35" s="3"/>
      <c r="X35" s="3"/>
      <c r="Y35" s="3"/>
      <c r="Z35" s="3"/>
    </row>
    <row r="36">
      <c r="A36" s="8" t="s">
        <v>2</v>
      </c>
      <c r="B36" s="9" t="s">
        <v>3</v>
      </c>
      <c r="C36" s="10"/>
      <c r="D36" s="11"/>
      <c r="E36" s="12" t="s">
        <v>4</v>
      </c>
      <c r="F36" s="10"/>
      <c r="G36" s="10"/>
      <c r="H36" s="10"/>
      <c r="I36" s="10"/>
      <c r="J36" s="10"/>
      <c r="K36" s="10"/>
      <c r="L36" s="10"/>
      <c r="M36" s="10"/>
      <c r="N36" s="11"/>
      <c r="O36" s="13" t="s">
        <v>5</v>
      </c>
      <c r="P36" s="10"/>
      <c r="Q36" s="10"/>
      <c r="R36" s="11"/>
      <c r="S36" s="14" t="s">
        <v>6</v>
      </c>
      <c r="T36" s="14" t="s">
        <v>7</v>
      </c>
      <c r="U36" s="6"/>
      <c r="V36" s="3"/>
      <c r="W36" s="3"/>
      <c r="X36" s="3"/>
      <c r="Y36" s="3"/>
      <c r="Z36" s="3"/>
    </row>
    <row r="37">
      <c r="A37" s="15"/>
      <c r="B37" s="16" t="s">
        <v>8</v>
      </c>
      <c r="C37" s="17" t="s">
        <v>9</v>
      </c>
      <c r="D37" s="14" t="s">
        <v>10</v>
      </c>
      <c r="E37" s="17" t="s">
        <v>11</v>
      </c>
      <c r="F37" s="17" t="s">
        <v>12</v>
      </c>
      <c r="G37" s="17" t="s">
        <v>13</v>
      </c>
      <c r="H37" s="17" t="s">
        <v>14</v>
      </c>
      <c r="I37" s="17" t="s">
        <v>15</v>
      </c>
      <c r="J37" s="17" t="s">
        <v>16</v>
      </c>
      <c r="K37" s="17" t="s">
        <v>17</v>
      </c>
      <c r="L37" s="17" t="s">
        <v>18</v>
      </c>
      <c r="M37" s="18" t="s">
        <v>19</v>
      </c>
      <c r="N37" s="14" t="s">
        <v>20</v>
      </c>
      <c r="O37" s="17" t="s">
        <v>21</v>
      </c>
      <c r="P37" s="17" t="s">
        <v>22</v>
      </c>
      <c r="Q37" s="17" t="s">
        <v>23</v>
      </c>
      <c r="R37" s="14" t="s">
        <v>24</v>
      </c>
      <c r="S37" s="19"/>
      <c r="T37" s="19"/>
      <c r="U37" s="6"/>
      <c r="V37" s="3"/>
      <c r="W37" s="3"/>
      <c r="X37" s="3"/>
      <c r="Y37" s="3"/>
      <c r="Z37" s="3"/>
    </row>
    <row r="38">
      <c r="A38" s="20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6"/>
      <c r="V38" s="3"/>
      <c r="W38" s="3"/>
      <c r="X38" s="3"/>
      <c r="Y38" s="3"/>
      <c r="Z38" s="3"/>
    </row>
    <row r="39">
      <c r="A39" s="21">
        <v>10.0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6"/>
      <c r="V39" s="3"/>
      <c r="W39" s="3"/>
      <c r="X39" s="3"/>
      <c r="Y39" s="3"/>
      <c r="Z39" s="3"/>
    </row>
    <row r="40">
      <c r="A40" s="23" t="s">
        <v>25</v>
      </c>
      <c r="B40" s="24">
        <f t="shared" ref="B40:B51" si="7">300-U40</f>
        <v>300</v>
      </c>
      <c r="C40" s="25">
        <v>30.0</v>
      </c>
      <c r="D40" s="26">
        <f t="shared" ref="D40:D51" si="8">B40</f>
        <v>300</v>
      </c>
      <c r="E40" s="27"/>
      <c r="F40" s="28"/>
      <c r="G40" s="29"/>
      <c r="H40" s="29"/>
      <c r="I40" s="27"/>
      <c r="J40" s="29"/>
      <c r="K40" s="27"/>
      <c r="L40" s="27"/>
      <c r="M40" s="30"/>
      <c r="N40" s="26">
        <f t="shared" ref="N40:N51" si="9">SUM(E40:M40)</f>
        <v>0</v>
      </c>
      <c r="O40" s="29"/>
      <c r="P40" s="29"/>
      <c r="Q40" s="66">
        <v>1.5</v>
      </c>
      <c r="R40" s="31">
        <f t="shared" ref="R40:R51" si="10">SUM(O40:Q40)</f>
        <v>1.5</v>
      </c>
      <c r="S40" s="32">
        <f t="shared" ref="S40:S51" si="11">D40-N40+R40</f>
        <v>301.5</v>
      </c>
      <c r="T40" s="33">
        <f t="shared" ref="T40:T51" si="12">RANK(S40,$S$40:$S$51,0)</f>
        <v>4</v>
      </c>
      <c r="U40" s="34">
        <v>0.0</v>
      </c>
      <c r="V40" s="3"/>
      <c r="W40" s="3"/>
      <c r="X40" s="3"/>
      <c r="Y40" s="3"/>
      <c r="Z40" s="3"/>
    </row>
    <row r="41">
      <c r="A41" s="35" t="s">
        <v>26</v>
      </c>
      <c r="B41" s="24">
        <f t="shared" si="7"/>
        <v>300</v>
      </c>
      <c r="C41" s="36">
        <v>30.0</v>
      </c>
      <c r="D41" s="37">
        <f t="shared" si="8"/>
        <v>300</v>
      </c>
      <c r="E41" s="38"/>
      <c r="F41" s="39"/>
      <c r="G41" s="40"/>
      <c r="H41" s="40"/>
      <c r="I41" s="39">
        <v>0.5</v>
      </c>
      <c r="J41" s="40"/>
      <c r="K41" s="38"/>
      <c r="L41" s="38"/>
      <c r="M41" s="41"/>
      <c r="N41" s="37">
        <f t="shared" si="9"/>
        <v>0.5</v>
      </c>
      <c r="O41" s="40"/>
      <c r="P41" s="40"/>
      <c r="Q41" s="67">
        <v>2.5</v>
      </c>
      <c r="R41" s="42">
        <f t="shared" si="10"/>
        <v>2.5</v>
      </c>
      <c r="S41" s="43">
        <f t="shared" si="11"/>
        <v>302</v>
      </c>
      <c r="T41" s="33">
        <f t="shared" si="12"/>
        <v>2</v>
      </c>
      <c r="U41" s="34">
        <v>0.0</v>
      </c>
      <c r="V41" s="3"/>
      <c r="W41" s="3"/>
      <c r="X41" s="3"/>
      <c r="Y41" s="3"/>
      <c r="Z41" s="3"/>
    </row>
    <row r="42">
      <c r="A42" s="35" t="s">
        <v>27</v>
      </c>
      <c r="B42" s="24">
        <f t="shared" si="7"/>
        <v>300</v>
      </c>
      <c r="C42" s="36">
        <v>30.0</v>
      </c>
      <c r="D42" s="37">
        <f t="shared" si="8"/>
        <v>300</v>
      </c>
      <c r="E42" s="39">
        <v>1.5</v>
      </c>
      <c r="F42" s="38"/>
      <c r="G42" s="40"/>
      <c r="H42" s="40"/>
      <c r="I42" s="39"/>
      <c r="J42" s="40"/>
      <c r="K42" s="39">
        <v>0.5</v>
      </c>
      <c r="L42" s="38"/>
      <c r="M42" s="44"/>
      <c r="N42" s="37">
        <f t="shared" si="9"/>
        <v>2</v>
      </c>
      <c r="O42" s="40"/>
      <c r="P42" s="40"/>
      <c r="Q42" s="67">
        <v>2.5</v>
      </c>
      <c r="R42" s="42">
        <f t="shared" si="10"/>
        <v>2.5</v>
      </c>
      <c r="S42" s="45">
        <f t="shared" si="11"/>
        <v>300.5</v>
      </c>
      <c r="T42" s="33">
        <f t="shared" si="12"/>
        <v>7</v>
      </c>
      <c r="U42" s="34">
        <v>0.0</v>
      </c>
      <c r="V42" s="3"/>
      <c r="W42" s="3"/>
      <c r="X42" s="3"/>
      <c r="Y42" s="3"/>
      <c r="Z42" s="3"/>
    </row>
    <row r="43">
      <c r="A43" s="35" t="s">
        <v>28</v>
      </c>
      <c r="B43" s="24">
        <f t="shared" si="7"/>
        <v>300</v>
      </c>
      <c r="C43" s="36">
        <v>30.0</v>
      </c>
      <c r="D43" s="37">
        <f t="shared" si="8"/>
        <v>300</v>
      </c>
      <c r="E43" s="39"/>
      <c r="F43" s="39"/>
      <c r="G43" s="40"/>
      <c r="H43" s="40"/>
      <c r="I43" s="38"/>
      <c r="J43" s="40"/>
      <c r="K43" s="38"/>
      <c r="L43" s="38"/>
      <c r="M43" s="44"/>
      <c r="N43" s="37">
        <f t="shared" si="9"/>
        <v>0</v>
      </c>
      <c r="O43" s="40"/>
      <c r="P43" s="40"/>
      <c r="Q43" s="46">
        <v>1.5</v>
      </c>
      <c r="R43" s="42">
        <f t="shared" si="10"/>
        <v>1.5</v>
      </c>
      <c r="S43" s="45">
        <f t="shared" si="11"/>
        <v>301.5</v>
      </c>
      <c r="T43" s="33">
        <f t="shared" si="12"/>
        <v>4</v>
      </c>
      <c r="U43" s="34">
        <v>0.0</v>
      </c>
      <c r="V43" s="3"/>
      <c r="W43" s="3"/>
      <c r="X43" s="3"/>
      <c r="Y43" s="3"/>
      <c r="Z43" s="3"/>
    </row>
    <row r="44">
      <c r="A44" s="35" t="s">
        <v>29</v>
      </c>
      <c r="B44" s="24">
        <f t="shared" si="7"/>
        <v>300</v>
      </c>
      <c r="C44" s="36">
        <v>30.0</v>
      </c>
      <c r="D44" s="37">
        <f t="shared" si="8"/>
        <v>300</v>
      </c>
      <c r="E44" s="38"/>
      <c r="F44" s="39">
        <v>1.0</v>
      </c>
      <c r="G44" s="40"/>
      <c r="H44" s="40"/>
      <c r="I44" s="39"/>
      <c r="J44" s="40"/>
      <c r="K44" s="38"/>
      <c r="L44" s="38"/>
      <c r="M44" s="44"/>
      <c r="N44" s="37">
        <f t="shared" si="9"/>
        <v>1</v>
      </c>
      <c r="O44" s="40"/>
      <c r="P44" s="40"/>
      <c r="Q44" s="46">
        <v>1.5</v>
      </c>
      <c r="R44" s="42">
        <f t="shared" si="10"/>
        <v>1.5</v>
      </c>
      <c r="S44" s="45">
        <f t="shared" si="11"/>
        <v>300.5</v>
      </c>
      <c r="T44" s="33">
        <f t="shared" si="12"/>
        <v>7</v>
      </c>
      <c r="U44" s="34">
        <v>0.0</v>
      </c>
      <c r="V44" s="3"/>
      <c r="W44" s="3"/>
      <c r="X44" s="3"/>
      <c r="Y44" s="3"/>
      <c r="Z44" s="3"/>
    </row>
    <row r="45">
      <c r="A45" s="35" t="s">
        <v>30</v>
      </c>
      <c r="B45" s="24">
        <f t="shared" si="7"/>
        <v>300</v>
      </c>
      <c r="C45" s="36">
        <v>30.0</v>
      </c>
      <c r="D45" s="37">
        <f t="shared" si="8"/>
        <v>300</v>
      </c>
      <c r="E45" s="39">
        <v>3.0</v>
      </c>
      <c r="F45" s="39">
        <v>0.5</v>
      </c>
      <c r="G45" s="40"/>
      <c r="H45" s="40"/>
      <c r="I45" s="39"/>
      <c r="J45" s="40"/>
      <c r="K45" s="38"/>
      <c r="L45" s="38"/>
      <c r="M45" s="44"/>
      <c r="N45" s="37">
        <f t="shared" si="9"/>
        <v>3.5</v>
      </c>
      <c r="O45" s="40"/>
      <c r="P45" s="40"/>
      <c r="Q45" s="46">
        <v>1.5</v>
      </c>
      <c r="R45" s="42">
        <f t="shared" si="10"/>
        <v>1.5</v>
      </c>
      <c r="S45" s="45">
        <f t="shared" si="11"/>
        <v>298</v>
      </c>
      <c r="T45" s="33">
        <f t="shared" si="12"/>
        <v>11</v>
      </c>
      <c r="U45" s="34">
        <v>0.0</v>
      </c>
      <c r="V45" s="3"/>
      <c r="W45" s="3"/>
      <c r="X45" s="3"/>
      <c r="Y45" s="3"/>
      <c r="Z45" s="3"/>
    </row>
    <row r="46">
      <c r="A46" s="35" t="s">
        <v>31</v>
      </c>
      <c r="B46" s="24">
        <f t="shared" si="7"/>
        <v>299</v>
      </c>
      <c r="C46" s="36">
        <v>30.0</v>
      </c>
      <c r="D46" s="37">
        <f t="shared" si="8"/>
        <v>299</v>
      </c>
      <c r="E46" s="38"/>
      <c r="F46" s="38"/>
      <c r="G46" s="40"/>
      <c r="H46" s="40"/>
      <c r="I46" s="39">
        <v>0.5</v>
      </c>
      <c r="J46" s="38"/>
      <c r="K46" s="38"/>
      <c r="L46" s="38"/>
      <c r="M46" s="44"/>
      <c r="N46" s="37">
        <f t="shared" si="9"/>
        <v>0.5</v>
      </c>
      <c r="O46" s="40"/>
      <c r="P46" s="40"/>
      <c r="Q46" s="67">
        <v>2.5</v>
      </c>
      <c r="R46" s="42">
        <f t="shared" si="10"/>
        <v>2.5</v>
      </c>
      <c r="S46" s="45">
        <f t="shared" si="11"/>
        <v>301</v>
      </c>
      <c r="T46" s="33">
        <f t="shared" si="12"/>
        <v>6</v>
      </c>
      <c r="U46" s="1">
        <v>1.0</v>
      </c>
      <c r="V46" s="3"/>
      <c r="W46" s="3"/>
      <c r="X46" s="3"/>
      <c r="Y46" s="3"/>
      <c r="Z46" s="3"/>
    </row>
    <row r="47">
      <c r="A47" s="35" t="s">
        <v>32</v>
      </c>
      <c r="B47" s="24">
        <f t="shared" si="7"/>
        <v>300</v>
      </c>
      <c r="C47" s="36">
        <v>30.0</v>
      </c>
      <c r="D47" s="37">
        <f t="shared" si="8"/>
        <v>300</v>
      </c>
      <c r="E47" s="38"/>
      <c r="F47" s="38"/>
      <c r="G47" s="40"/>
      <c r="H47" s="40"/>
      <c r="I47" s="38"/>
      <c r="J47" s="40"/>
      <c r="K47" s="38"/>
      <c r="L47" s="38"/>
      <c r="M47" s="44"/>
      <c r="N47" s="37">
        <f t="shared" si="9"/>
        <v>0</v>
      </c>
      <c r="O47" s="40"/>
      <c r="P47" s="40"/>
      <c r="Q47" s="67">
        <v>2.5</v>
      </c>
      <c r="R47" s="42">
        <f t="shared" si="10"/>
        <v>2.5</v>
      </c>
      <c r="S47" s="47">
        <f t="shared" si="11"/>
        <v>302.5</v>
      </c>
      <c r="T47" s="33">
        <f t="shared" si="12"/>
        <v>1</v>
      </c>
      <c r="U47" s="34">
        <v>0.0</v>
      </c>
      <c r="V47" s="3"/>
      <c r="W47" s="3"/>
      <c r="X47" s="3"/>
      <c r="Y47" s="3"/>
      <c r="Z47" s="3"/>
    </row>
    <row r="48">
      <c r="A48" s="35" t="s">
        <v>33</v>
      </c>
      <c r="B48" s="24">
        <f t="shared" si="7"/>
        <v>300</v>
      </c>
      <c r="C48" s="36">
        <v>30.0</v>
      </c>
      <c r="D48" s="37">
        <f t="shared" si="8"/>
        <v>300</v>
      </c>
      <c r="E48" s="39"/>
      <c r="F48" s="38"/>
      <c r="G48" s="40"/>
      <c r="H48" s="40"/>
      <c r="I48" s="39">
        <v>2.0</v>
      </c>
      <c r="J48" s="38"/>
      <c r="K48" s="38"/>
      <c r="L48" s="38"/>
      <c r="M48" s="44"/>
      <c r="N48" s="37">
        <f t="shared" si="9"/>
        <v>2</v>
      </c>
      <c r="O48" s="40"/>
      <c r="P48" s="40"/>
      <c r="Q48" s="46">
        <v>0.5</v>
      </c>
      <c r="R48" s="42">
        <f t="shared" si="10"/>
        <v>0.5</v>
      </c>
      <c r="S48" s="47">
        <f t="shared" si="11"/>
        <v>298.5</v>
      </c>
      <c r="T48" s="33">
        <f t="shared" si="12"/>
        <v>10</v>
      </c>
      <c r="U48" s="34">
        <v>0.0</v>
      </c>
      <c r="V48" s="3"/>
      <c r="W48" s="3"/>
      <c r="X48" s="3"/>
      <c r="Y48" s="3"/>
      <c r="Z48" s="3"/>
    </row>
    <row r="49">
      <c r="A49" s="35" t="s">
        <v>34</v>
      </c>
      <c r="B49" s="24">
        <f t="shared" si="7"/>
        <v>300</v>
      </c>
      <c r="C49" s="36">
        <v>30.0</v>
      </c>
      <c r="D49" s="37">
        <f t="shared" si="8"/>
        <v>300</v>
      </c>
      <c r="E49" s="38"/>
      <c r="F49" s="39">
        <v>0.5</v>
      </c>
      <c r="G49" s="40"/>
      <c r="H49" s="40"/>
      <c r="I49" s="39">
        <v>0.5</v>
      </c>
      <c r="J49" s="40"/>
      <c r="K49" s="38"/>
      <c r="L49" s="38"/>
      <c r="M49" s="44"/>
      <c r="N49" s="37">
        <f t="shared" si="9"/>
        <v>1</v>
      </c>
      <c r="O49" s="40"/>
      <c r="P49" s="40"/>
      <c r="Q49" s="67">
        <v>3.0</v>
      </c>
      <c r="R49" s="42">
        <f t="shared" si="10"/>
        <v>3</v>
      </c>
      <c r="S49" s="43">
        <f t="shared" si="11"/>
        <v>302</v>
      </c>
      <c r="T49" s="33">
        <f t="shared" si="12"/>
        <v>2</v>
      </c>
      <c r="U49" s="34">
        <v>0.0</v>
      </c>
      <c r="V49" s="3"/>
      <c r="W49" s="3"/>
      <c r="X49" s="3"/>
      <c r="Y49" s="3"/>
      <c r="Z49" s="3"/>
    </row>
    <row r="50">
      <c r="A50" s="35" t="s">
        <v>35</v>
      </c>
      <c r="B50" s="24">
        <f t="shared" si="7"/>
        <v>299</v>
      </c>
      <c r="C50" s="36">
        <v>30.0</v>
      </c>
      <c r="D50" s="37">
        <f t="shared" si="8"/>
        <v>299</v>
      </c>
      <c r="E50" s="39">
        <v>1.5</v>
      </c>
      <c r="F50" s="39"/>
      <c r="G50" s="40"/>
      <c r="H50" s="40"/>
      <c r="I50" s="39">
        <v>0.5</v>
      </c>
      <c r="J50" s="40"/>
      <c r="K50" s="39">
        <v>1.0</v>
      </c>
      <c r="L50" s="38"/>
      <c r="M50" s="41">
        <v>0.5</v>
      </c>
      <c r="N50" s="37">
        <f t="shared" si="9"/>
        <v>3.5</v>
      </c>
      <c r="O50" s="40"/>
      <c r="P50" s="40"/>
      <c r="Q50" s="67">
        <v>2.5</v>
      </c>
      <c r="R50" s="42">
        <f t="shared" si="10"/>
        <v>2.5</v>
      </c>
      <c r="S50" s="45">
        <f t="shared" si="11"/>
        <v>298</v>
      </c>
      <c r="T50" s="33">
        <f t="shared" si="12"/>
        <v>11</v>
      </c>
      <c r="U50" s="1">
        <v>1.0</v>
      </c>
      <c r="V50" s="3"/>
      <c r="W50" s="3"/>
      <c r="X50" s="3"/>
      <c r="Y50" s="3"/>
      <c r="Z50" s="3"/>
    </row>
    <row r="51">
      <c r="A51" s="48" t="s">
        <v>36</v>
      </c>
      <c r="B51" s="49">
        <f t="shared" si="7"/>
        <v>299</v>
      </c>
      <c r="C51" s="50">
        <v>30.0</v>
      </c>
      <c r="D51" s="51">
        <f t="shared" si="8"/>
        <v>299</v>
      </c>
      <c r="E51" s="68">
        <v>1.5</v>
      </c>
      <c r="F51" s="68">
        <v>0.5</v>
      </c>
      <c r="G51" s="53"/>
      <c r="H51" s="53"/>
      <c r="I51" s="68">
        <v>1.0</v>
      </c>
      <c r="J51" s="53"/>
      <c r="K51" s="52"/>
      <c r="L51" s="52"/>
      <c r="M51" s="54"/>
      <c r="N51" s="51">
        <f t="shared" si="9"/>
        <v>3</v>
      </c>
      <c r="O51" s="53"/>
      <c r="P51" s="53"/>
      <c r="Q51" s="69">
        <v>4.0</v>
      </c>
      <c r="R51" s="56">
        <f t="shared" si="10"/>
        <v>4</v>
      </c>
      <c r="S51" s="57">
        <f t="shared" si="11"/>
        <v>300</v>
      </c>
      <c r="T51" s="58">
        <f t="shared" si="12"/>
        <v>9</v>
      </c>
      <c r="U51" s="1">
        <v>1.0</v>
      </c>
      <c r="V51" s="3"/>
      <c r="W51" s="3"/>
      <c r="X51" s="3"/>
      <c r="Y51" s="3"/>
      <c r="Z51" s="3"/>
    </row>
    <row r="52">
      <c r="A52" s="3"/>
      <c r="B52" s="3"/>
      <c r="C52" s="3"/>
      <c r="D52" s="3"/>
      <c r="E52" s="59"/>
      <c r="F52" s="59"/>
      <c r="G52" s="60"/>
      <c r="H52" s="60"/>
      <c r="I52" s="59"/>
      <c r="J52" s="60"/>
      <c r="K52" s="59"/>
      <c r="L52" s="59"/>
      <c r="M52" s="61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62"/>
      <c r="B53" s="63" t="s">
        <v>37</v>
      </c>
      <c r="C53" s="3"/>
      <c r="D53" s="3"/>
      <c r="E53" s="59"/>
      <c r="F53" s="59"/>
      <c r="G53" s="60"/>
      <c r="H53" s="64"/>
      <c r="I53" s="70" t="s">
        <v>51</v>
      </c>
      <c r="J53" s="60"/>
      <c r="K53" s="59"/>
      <c r="L53" s="59"/>
      <c r="M53" s="71" t="s">
        <v>52</v>
      </c>
      <c r="N53" s="6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65" t="s">
        <v>53</v>
      </c>
      <c r="C54" s="3"/>
      <c r="D54" s="3"/>
      <c r="E54" s="59"/>
      <c r="F54" s="59"/>
      <c r="G54" s="60"/>
      <c r="H54" s="60"/>
      <c r="I54" s="59"/>
      <c r="J54" s="60"/>
      <c r="K54" s="59"/>
      <c r="L54" s="59"/>
      <c r="M54" s="72" t="s">
        <v>54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65" t="s">
        <v>55</v>
      </c>
      <c r="C55" s="3"/>
      <c r="D55" s="3"/>
      <c r="E55" s="59"/>
      <c r="F55" s="59"/>
      <c r="G55" s="60"/>
      <c r="H55" s="60"/>
      <c r="I55" s="59"/>
      <c r="J55" s="60"/>
      <c r="K55" s="59"/>
      <c r="L55" s="59"/>
      <c r="M55" s="61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65" t="s">
        <v>56</v>
      </c>
      <c r="C56" s="3"/>
      <c r="D56" s="3"/>
      <c r="E56" s="59"/>
      <c r="F56" s="59"/>
      <c r="G56" s="60"/>
      <c r="H56" s="60"/>
      <c r="I56" s="59"/>
      <c r="J56" s="60"/>
      <c r="K56" s="59"/>
      <c r="L56" s="59"/>
      <c r="M56" s="71" t="s">
        <v>57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65" t="s">
        <v>58</v>
      </c>
      <c r="C57" s="3"/>
      <c r="D57" s="3"/>
      <c r="E57" s="59"/>
      <c r="F57" s="59"/>
      <c r="G57" s="60"/>
      <c r="H57" s="60"/>
      <c r="I57" s="59"/>
      <c r="J57" s="60"/>
      <c r="K57" s="59"/>
      <c r="L57" s="59"/>
      <c r="M57" s="72" t="s">
        <v>59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65" t="s">
        <v>60</v>
      </c>
      <c r="C58" s="3"/>
      <c r="D58" s="3"/>
      <c r="E58" s="59"/>
      <c r="F58" s="59"/>
      <c r="G58" s="60"/>
      <c r="H58" s="60"/>
      <c r="I58" s="59"/>
      <c r="J58" s="60"/>
      <c r="K58" s="59"/>
      <c r="L58" s="59"/>
      <c r="M58" s="61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65" t="s">
        <v>61</v>
      </c>
      <c r="C59" s="3"/>
      <c r="D59" s="3"/>
      <c r="E59" s="59"/>
      <c r="F59" s="59"/>
      <c r="G59" s="60"/>
      <c r="H59" s="60"/>
      <c r="I59" s="59"/>
      <c r="J59" s="60"/>
      <c r="K59" s="59"/>
      <c r="L59" s="59"/>
      <c r="M59" s="71" t="s">
        <v>62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65" t="s">
        <v>63</v>
      </c>
      <c r="C60" s="3"/>
      <c r="D60" s="3"/>
      <c r="E60" s="59"/>
      <c r="F60" s="59"/>
      <c r="G60" s="60"/>
      <c r="H60" s="60"/>
      <c r="I60" s="59"/>
      <c r="J60" s="60"/>
      <c r="K60" s="59"/>
      <c r="L60" s="59"/>
      <c r="M60" s="72" t="s">
        <v>64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65" t="s">
        <v>65</v>
      </c>
      <c r="C61" s="3"/>
      <c r="D61" s="3"/>
      <c r="E61" s="59"/>
      <c r="F61" s="59"/>
      <c r="G61" s="60"/>
      <c r="H61" s="60"/>
      <c r="I61" s="59"/>
      <c r="J61" s="60"/>
      <c r="K61" s="59"/>
      <c r="L61" s="59"/>
      <c r="M61" s="72" t="s">
        <v>66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65" t="s">
        <v>67</v>
      </c>
      <c r="C62" s="3"/>
      <c r="D62" s="3"/>
      <c r="E62" s="59"/>
      <c r="F62" s="59"/>
      <c r="G62" s="60"/>
      <c r="H62" s="60"/>
      <c r="I62" s="59"/>
      <c r="J62" s="60"/>
      <c r="K62" s="59"/>
      <c r="L62" s="59"/>
      <c r="M62" s="72" t="s">
        <v>68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59"/>
      <c r="F63" s="59"/>
      <c r="G63" s="60"/>
      <c r="H63" s="60"/>
      <c r="I63" s="59"/>
      <c r="J63" s="60"/>
      <c r="K63" s="59"/>
      <c r="L63" s="59"/>
      <c r="M63" s="72" t="s">
        <v>69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59"/>
      <c r="F64" s="59"/>
      <c r="G64" s="60"/>
      <c r="H64" s="60"/>
      <c r="I64" s="59"/>
      <c r="J64" s="60"/>
      <c r="K64" s="59"/>
      <c r="L64" s="59"/>
      <c r="M64" s="61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59"/>
      <c r="F65" s="59"/>
      <c r="G65" s="60"/>
      <c r="H65" s="60"/>
      <c r="I65" s="59"/>
      <c r="J65" s="60"/>
      <c r="K65" s="59"/>
      <c r="L65" s="59"/>
      <c r="M65" s="61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59"/>
      <c r="F66" s="59"/>
      <c r="G66" s="60"/>
      <c r="H66" s="60"/>
      <c r="I66" s="59"/>
      <c r="J66" s="60"/>
      <c r="K66" s="59"/>
      <c r="L66" s="59"/>
      <c r="M66" s="61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 t="s">
        <v>70</v>
      </c>
      <c r="U67" s="2"/>
      <c r="V67" s="3"/>
      <c r="W67" s="3"/>
      <c r="X67" s="3"/>
      <c r="Y67" s="3"/>
      <c r="Z67" s="3"/>
    </row>
    <row r="68">
      <c r="A68" s="1" t="s">
        <v>71</v>
      </c>
      <c r="U68" s="2"/>
      <c r="V68" s="3"/>
      <c r="W68" s="3"/>
      <c r="X68" s="3"/>
      <c r="Y68" s="3"/>
      <c r="Z68" s="3"/>
    </row>
    <row r="69">
      <c r="A69" s="2"/>
      <c r="B69" s="4"/>
      <c r="C69" s="2"/>
      <c r="D69" s="2"/>
      <c r="E69" s="5"/>
      <c r="F69" s="5"/>
      <c r="G69" s="6"/>
      <c r="H69" s="6"/>
      <c r="I69" s="5"/>
      <c r="J69" s="6"/>
      <c r="K69" s="5"/>
      <c r="L69" s="5"/>
      <c r="M69" s="7"/>
      <c r="N69" s="2"/>
      <c r="O69" s="2"/>
      <c r="P69" s="2"/>
      <c r="Q69" s="2"/>
      <c r="R69" s="2"/>
      <c r="S69" s="2"/>
      <c r="T69" s="2"/>
      <c r="U69" s="2"/>
      <c r="V69" s="3"/>
      <c r="W69" s="3"/>
      <c r="X69" s="3"/>
      <c r="Y69" s="3"/>
      <c r="Z69" s="3"/>
    </row>
    <row r="70">
      <c r="A70" s="8" t="s">
        <v>2</v>
      </c>
      <c r="B70" s="9" t="s">
        <v>3</v>
      </c>
      <c r="C70" s="10"/>
      <c r="D70" s="11"/>
      <c r="E70" s="12" t="s">
        <v>4</v>
      </c>
      <c r="F70" s="10"/>
      <c r="G70" s="10"/>
      <c r="H70" s="10"/>
      <c r="I70" s="10"/>
      <c r="J70" s="10"/>
      <c r="K70" s="10"/>
      <c r="L70" s="10"/>
      <c r="M70" s="10"/>
      <c r="N70" s="11"/>
      <c r="O70" s="13" t="s">
        <v>5</v>
      </c>
      <c r="P70" s="10"/>
      <c r="Q70" s="10"/>
      <c r="R70" s="11"/>
      <c r="S70" s="14" t="s">
        <v>6</v>
      </c>
      <c r="T70" s="14" t="s">
        <v>7</v>
      </c>
      <c r="U70" s="6"/>
      <c r="V70" s="3"/>
      <c r="W70" s="3"/>
      <c r="X70" s="3"/>
      <c r="Y70" s="3"/>
      <c r="Z70" s="3"/>
    </row>
    <row r="71">
      <c r="A71" s="15"/>
      <c r="B71" s="16" t="s">
        <v>8</v>
      </c>
      <c r="C71" s="17" t="s">
        <v>9</v>
      </c>
      <c r="D71" s="14" t="s">
        <v>10</v>
      </c>
      <c r="E71" s="17" t="s">
        <v>11</v>
      </c>
      <c r="F71" s="17" t="s">
        <v>12</v>
      </c>
      <c r="G71" s="17" t="s">
        <v>13</v>
      </c>
      <c r="H71" s="17" t="s">
        <v>14</v>
      </c>
      <c r="I71" s="17" t="s">
        <v>15</v>
      </c>
      <c r="J71" s="17" t="s">
        <v>16</v>
      </c>
      <c r="K71" s="17" t="s">
        <v>17</v>
      </c>
      <c r="L71" s="17" t="s">
        <v>18</v>
      </c>
      <c r="M71" s="18" t="s">
        <v>19</v>
      </c>
      <c r="N71" s="14" t="s">
        <v>20</v>
      </c>
      <c r="O71" s="17" t="s">
        <v>21</v>
      </c>
      <c r="P71" s="17" t="s">
        <v>22</v>
      </c>
      <c r="Q71" s="17" t="s">
        <v>23</v>
      </c>
      <c r="R71" s="14" t="s">
        <v>24</v>
      </c>
      <c r="S71" s="19"/>
      <c r="T71" s="19"/>
      <c r="U71" s="6"/>
      <c r="V71" s="3"/>
      <c r="W71" s="3"/>
      <c r="X71" s="3"/>
      <c r="Y71" s="3"/>
      <c r="Z71" s="3"/>
    </row>
    <row r="72">
      <c r="A72" s="20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6"/>
      <c r="V72" s="3"/>
      <c r="W72" s="3"/>
      <c r="X72" s="3"/>
      <c r="Y72" s="3"/>
      <c r="Z72" s="3"/>
    </row>
    <row r="73">
      <c r="A73" s="21">
        <v>10.0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6"/>
      <c r="V73" s="3"/>
      <c r="W73" s="3"/>
      <c r="X73" s="3"/>
      <c r="Y73" s="3"/>
      <c r="Z73" s="3"/>
    </row>
    <row r="74">
      <c r="A74" s="23" t="s">
        <v>25</v>
      </c>
      <c r="B74" s="24">
        <f t="shared" ref="B74:B85" si="13">300-U74</f>
        <v>300</v>
      </c>
      <c r="C74" s="25">
        <v>30.0</v>
      </c>
      <c r="D74" s="26">
        <f t="shared" ref="D74:D85" si="14">B74</f>
        <v>300</v>
      </c>
      <c r="E74" s="27"/>
      <c r="F74" s="28">
        <v>1.5</v>
      </c>
      <c r="G74" s="29"/>
      <c r="H74" s="29"/>
      <c r="I74" s="28">
        <v>0.5</v>
      </c>
      <c r="J74" s="29"/>
      <c r="K74" s="28">
        <v>0.5</v>
      </c>
      <c r="L74" s="27"/>
      <c r="M74" s="73"/>
      <c r="N74" s="26">
        <f t="shared" ref="N74:N85" si="15">SUM(E74:M74)</f>
        <v>2.5</v>
      </c>
      <c r="O74" s="29"/>
      <c r="P74" s="29"/>
      <c r="Q74" s="66"/>
      <c r="R74" s="31">
        <f t="shared" ref="R74:R85" si="16">SUM(O74:Q74)</f>
        <v>0</v>
      </c>
      <c r="S74" s="32">
        <f t="shared" ref="S74:S85" si="17">D74-N74+R74</f>
        <v>297.5</v>
      </c>
      <c r="T74" s="33">
        <f t="shared" ref="T74:T85" si="18">RANK(S74,$S$74:$S$85,0)</f>
        <v>9</v>
      </c>
      <c r="U74" s="34">
        <v>0.0</v>
      </c>
      <c r="V74" s="3"/>
      <c r="W74" s="3"/>
      <c r="X74" s="3"/>
      <c r="Y74" s="3"/>
      <c r="Z74" s="3"/>
    </row>
    <row r="75">
      <c r="A75" s="35" t="s">
        <v>26</v>
      </c>
      <c r="B75" s="24">
        <f t="shared" si="13"/>
        <v>300</v>
      </c>
      <c r="C75" s="36">
        <v>30.0</v>
      </c>
      <c r="D75" s="37">
        <f t="shared" si="14"/>
        <v>300</v>
      </c>
      <c r="E75" s="38"/>
      <c r="F75" s="39"/>
      <c r="G75" s="40"/>
      <c r="H75" s="40"/>
      <c r="I75" s="39"/>
      <c r="J75" s="40"/>
      <c r="K75" s="38"/>
      <c r="L75" s="38"/>
      <c r="M75" s="41"/>
      <c r="N75" s="37">
        <f t="shared" si="15"/>
        <v>0</v>
      </c>
      <c r="O75" s="40"/>
      <c r="P75" s="40"/>
      <c r="Q75" s="67"/>
      <c r="R75" s="42">
        <f t="shared" si="16"/>
        <v>0</v>
      </c>
      <c r="S75" s="43">
        <f t="shared" si="17"/>
        <v>300</v>
      </c>
      <c r="T75" s="33">
        <f t="shared" si="18"/>
        <v>1</v>
      </c>
      <c r="U75" s="34">
        <v>0.0</v>
      </c>
      <c r="V75" s="3"/>
      <c r="W75" s="3"/>
      <c r="X75" s="3"/>
      <c r="Y75" s="3"/>
      <c r="Z75" s="3"/>
    </row>
    <row r="76">
      <c r="A76" s="35" t="s">
        <v>27</v>
      </c>
      <c r="B76" s="24">
        <f t="shared" si="13"/>
        <v>299</v>
      </c>
      <c r="C76" s="36">
        <v>30.0</v>
      </c>
      <c r="D76" s="37">
        <f t="shared" si="14"/>
        <v>299</v>
      </c>
      <c r="E76" s="39"/>
      <c r="F76" s="38"/>
      <c r="G76" s="40"/>
      <c r="H76" s="40"/>
      <c r="I76" s="39">
        <v>0.5</v>
      </c>
      <c r="J76" s="40"/>
      <c r="K76" s="39"/>
      <c r="L76" s="38"/>
      <c r="M76" s="41">
        <v>0.5</v>
      </c>
      <c r="N76" s="37">
        <f t="shared" si="15"/>
        <v>1</v>
      </c>
      <c r="O76" s="40"/>
      <c r="P76" s="40"/>
      <c r="Q76" s="67"/>
      <c r="R76" s="42">
        <f t="shared" si="16"/>
        <v>0</v>
      </c>
      <c r="S76" s="45">
        <f t="shared" si="17"/>
        <v>298</v>
      </c>
      <c r="T76" s="33">
        <f t="shared" si="18"/>
        <v>8</v>
      </c>
      <c r="U76" s="1">
        <v>1.0</v>
      </c>
      <c r="V76" s="3"/>
      <c r="W76" s="3"/>
      <c r="X76" s="3"/>
      <c r="Y76" s="3"/>
      <c r="Z76" s="3"/>
    </row>
    <row r="77">
      <c r="A77" s="35" t="s">
        <v>28</v>
      </c>
      <c r="B77" s="24">
        <f t="shared" si="13"/>
        <v>300</v>
      </c>
      <c r="C77" s="36">
        <v>30.0</v>
      </c>
      <c r="D77" s="37">
        <f t="shared" si="14"/>
        <v>300</v>
      </c>
      <c r="E77" s="39"/>
      <c r="F77" s="39"/>
      <c r="G77" s="40"/>
      <c r="H77" s="40"/>
      <c r="I77" s="39">
        <v>0.5</v>
      </c>
      <c r="J77" s="40"/>
      <c r="K77" s="38"/>
      <c r="L77" s="38"/>
      <c r="M77" s="41"/>
      <c r="N77" s="37">
        <f t="shared" si="15"/>
        <v>0.5</v>
      </c>
      <c r="O77" s="40"/>
      <c r="P77" s="40"/>
      <c r="Q77" s="46"/>
      <c r="R77" s="42">
        <f t="shared" si="16"/>
        <v>0</v>
      </c>
      <c r="S77" s="45">
        <f t="shared" si="17"/>
        <v>299.5</v>
      </c>
      <c r="T77" s="33">
        <f t="shared" si="18"/>
        <v>2</v>
      </c>
      <c r="U77" s="34">
        <v>0.0</v>
      </c>
      <c r="V77" s="3"/>
      <c r="W77" s="3"/>
      <c r="X77" s="3"/>
      <c r="Y77" s="3"/>
      <c r="Z77" s="3"/>
    </row>
    <row r="78">
      <c r="A78" s="35" t="s">
        <v>29</v>
      </c>
      <c r="B78" s="24">
        <f t="shared" si="13"/>
        <v>300</v>
      </c>
      <c r="C78" s="36">
        <v>30.0</v>
      </c>
      <c r="D78" s="37">
        <f t="shared" si="14"/>
        <v>300</v>
      </c>
      <c r="E78" s="38"/>
      <c r="F78" s="39">
        <v>0.5</v>
      </c>
      <c r="G78" s="40"/>
      <c r="H78" s="40"/>
      <c r="I78" s="39">
        <v>1.5</v>
      </c>
      <c r="J78" s="40"/>
      <c r="K78" s="38"/>
      <c r="L78" s="38"/>
      <c r="M78" s="41">
        <v>0.5</v>
      </c>
      <c r="N78" s="37">
        <f t="shared" si="15"/>
        <v>2.5</v>
      </c>
      <c r="O78" s="40"/>
      <c r="P78" s="40"/>
      <c r="Q78" s="46"/>
      <c r="R78" s="42">
        <f t="shared" si="16"/>
        <v>0</v>
      </c>
      <c r="S78" s="45">
        <f t="shared" si="17"/>
        <v>297.5</v>
      </c>
      <c r="T78" s="33">
        <f t="shared" si="18"/>
        <v>9</v>
      </c>
      <c r="U78" s="34">
        <v>0.0</v>
      </c>
      <c r="V78" s="3"/>
      <c r="W78" s="3"/>
      <c r="X78" s="3"/>
      <c r="Y78" s="3"/>
      <c r="Z78" s="3"/>
    </row>
    <row r="79">
      <c r="A79" s="35" t="s">
        <v>30</v>
      </c>
      <c r="B79" s="24">
        <f t="shared" si="13"/>
        <v>300</v>
      </c>
      <c r="C79" s="36">
        <v>30.0</v>
      </c>
      <c r="D79" s="37">
        <f t="shared" si="14"/>
        <v>300</v>
      </c>
      <c r="E79" s="39"/>
      <c r="F79" s="39"/>
      <c r="G79" s="40"/>
      <c r="H79" s="40"/>
      <c r="I79" s="39"/>
      <c r="J79" s="40"/>
      <c r="K79" s="38"/>
      <c r="L79" s="38"/>
      <c r="M79" s="41">
        <v>0.5</v>
      </c>
      <c r="N79" s="37">
        <f t="shared" si="15"/>
        <v>0.5</v>
      </c>
      <c r="O79" s="40"/>
      <c r="P79" s="40"/>
      <c r="Q79" s="46"/>
      <c r="R79" s="42">
        <f t="shared" si="16"/>
        <v>0</v>
      </c>
      <c r="S79" s="45">
        <f t="shared" si="17"/>
        <v>299.5</v>
      </c>
      <c r="T79" s="33">
        <f t="shared" si="18"/>
        <v>2</v>
      </c>
      <c r="U79" s="34">
        <v>0.0</v>
      </c>
      <c r="V79" s="3"/>
      <c r="W79" s="3"/>
      <c r="X79" s="3"/>
      <c r="Y79" s="3"/>
      <c r="Z79" s="3"/>
    </row>
    <row r="80">
      <c r="A80" s="35" t="s">
        <v>31</v>
      </c>
      <c r="B80" s="24">
        <f t="shared" si="13"/>
        <v>300</v>
      </c>
      <c r="C80" s="36">
        <v>30.0</v>
      </c>
      <c r="D80" s="37">
        <f t="shared" si="14"/>
        <v>300</v>
      </c>
      <c r="E80" s="38"/>
      <c r="F80" s="39">
        <v>1.5</v>
      </c>
      <c r="G80" s="40"/>
      <c r="H80" s="40"/>
      <c r="I80" s="39"/>
      <c r="J80" s="38"/>
      <c r="K80" s="38"/>
      <c r="L80" s="38"/>
      <c r="M80" s="41"/>
      <c r="N80" s="37">
        <f t="shared" si="15"/>
        <v>1.5</v>
      </c>
      <c r="O80" s="40"/>
      <c r="P80" s="40"/>
      <c r="Q80" s="67">
        <v>0.5</v>
      </c>
      <c r="R80" s="42">
        <f t="shared" si="16"/>
        <v>0.5</v>
      </c>
      <c r="S80" s="45">
        <f t="shared" si="17"/>
        <v>299</v>
      </c>
      <c r="T80" s="33">
        <f t="shared" si="18"/>
        <v>6</v>
      </c>
      <c r="U80" s="1">
        <v>0.0</v>
      </c>
      <c r="V80" s="3"/>
      <c r="W80" s="3"/>
      <c r="X80" s="3"/>
      <c r="Y80" s="3"/>
      <c r="Z80" s="3"/>
    </row>
    <row r="81">
      <c r="A81" s="35" t="s">
        <v>32</v>
      </c>
      <c r="B81" s="24">
        <f t="shared" si="13"/>
        <v>300</v>
      </c>
      <c r="C81" s="36">
        <v>30.0</v>
      </c>
      <c r="D81" s="37">
        <f t="shared" si="14"/>
        <v>300</v>
      </c>
      <c r="E81" s="38"/>
      <c r="F81" s="39">
        <v>0.5</v>
      </c>
      <c r="G81" s="40"/>
      <c r="H81" s="40"/>
      <c r="I81" s="38"/>
      <c r="J81" s="40"/>
      <c r="K81" s="38"/>
      <c r="L81" s="38"/>
      <c r="M81" s="41"/>
      <c r="N81" s="37">
        <f t="shared" si="15"/>
        <v>0.5</v>
      </c>
      <c r="O81" s="40"/>
      <c r="P81" s="40"/>
      <c r="Q81" s="67"/>
      <c r="R81" s="42">
        <f t="shared" si="16"/>
        <v>0</v>
      </c>
      <c r="S81" s="47">
        <f t="shared" si="17"/>
        <v>299.5</v>
      </c>
      <c r="T81" s="33">
        <f t="shared" si="18"/>
        <v>2</v>
      </c>
      <c r="U81" s="34">
        <v>0.0</v>
      </c>
      <c r="V81" s="3"/>
      <c r="W81" s="3"/>
      <c r="X81" s="3"/>
      <c r="Y81" s="3"/>
      <c r="Z81" s="3"/>
    </row>
    <row r="82">
      <c r="A82" s="35" t="s">
        <v>33</v>
      </c>
      <c r="B82" s="24">
        <f t="shared" si="13"/>
        <v>298</v>
      </c>
      <c r="C82" s="36">
        <v>30.0</v>
      </c>
      <c r="D82" s="37">
        <f t="shared" si="14"/>
        <v>298</v>
      </c>
      <c r="E82" s="39"/>
      <c r="F82" s="38"/>
      <c r="G82" s="40"/>
      <c r="H82" s="40"/>
      <c r="I82" s="39">
        <v>0.5</v>
      </c>
      <c r="J82" s="38"/>
      <c r="K82" s="39">
        <v>1.0</v>
      </c>
      <c r="L82" s="38"/>
      <c r="M82" s="41">
        <v>0.5</v>
      </c>
      <c r="N82" s="37">
        <f t="shared" si="15"/>
        <v>2</v>
      </c>
      <c r="O82" s="40"/>
      <c r="P82" s="40"/>
      <c r="Q82" s="46"/>
      <c r="R82" s="42">
        <f t="shared" si="16"/>
        <v>0</v>
      </c>
      <c r="S82" s="47">
        <f t="shared" si="17"/>
        <v>296</v>
      </c>
      <c r="T82" s="33">
        <f t="shared" si="18"/>
        <v>12</v>
      </c>
      <c r="U82" s="1">
        <v>2.0</v>
      </c>
      <c r="V82" s="3"/>
      <c r="W82" s="3"/>
      <c r="X82" s="3"/>
      <c r="Y82" s="3"/>
      <c r="Z82" s="3"/>
    </row>
    <row r="83">
      <c r="A83" s="35" t="s">
        <v>34</v>
      </c>
      <c r="B83" s="24">
        <f t="shared" si="13"/>
        <v>300</v>
      </c>
      <c r="C83" s="36">
        <v>30.0</v>
      </c>
      <c r="D83" s="37">
        <f t="shared" si="14"/>
        <v>300</v>
      </c>
      <c r="E83" s="38"/>
      <c r="F83" s="39"/>
      <c r="G83" s="40"/>
      <c r="H83" s="40"/>
      <c r="I83" s="39"/>
      <c r="J83" s="40"/>
      <c r="K83" s="38"/>
      <c r="L83" s="38"/>
      <c r="M83" s="41">
        <v>0.5</v>
      </c>
      <c r="N83" s="37">
        <f t="shared" si="15"/>
        <v>0.5</v>
      </c>
      <c r="O83" s="40"/>
      <c r="P83" s="40"/>
      <c r="Q83" s="67"/>
      <c r="R83" s="42">
        <f t="shared" si="16"/>
        <v>0</v>
      </c>
      <c r="S83" s="43">
        <f t="shared" si="17"/>
        <v>299.5</v>
      </c>
      <c r="T83" s="33">
        <f t="shared" si="18"/>
        <v>2</v>
      </c>
      <c r="U83" s="34">
        <v>0.0</v>
      </c>
      <c r="V83" s="3"/>
      <c r="W83" s="3"/>
      <c r="X83" s="3"/>
      <c r="Y83" s="3"/>
      <c r="Z83" s="3"/>
    </row>
    <row r="84">
      <c r="A84" s="35" t="s">
        <v>35</v>
      </c>
      <c r="B84" s="24">
        <f t="shared" si="13"/>
        <v>300</v>
      </c>
      <c r="C84" s="36">
        <v>30.0</v>
      </c>
      <c r="D84" s="37">
        <f t="shared" si="14"/>
        <v>300</v>
      </c>
      <c r="E84" s="39">
        <v>1.5</v>
      </c>
      <c r="F84" s="39"/>
      <c r="G84" s="40"/>
      <c r="H84" s="40"/>
      <c r="I84" s="39">
        <v>0.5</v>
      </c>
      <c r="J84" s="40"/>
      <c r="K84" s="39"/>
      <c r="L84" s="38"/>
      <c r="M84" s="41">
        <v>0.5</v>
      </c>
      <c r="N84" s="37">
        <f t="shared" si="15"/>
        <v>2.5</v>
      </c>
      <c r="O84" s="40"/>
      <c r="P84" s="40"/>
      <c r="Q84" s="67"/>
      <c r="R84" s="42">
        <f t="shared" si="16"/>
        <v>0</v>
      </c>
      <c r="S84" s="45">
        <f t="shared" si="17"/>
        <v>297.5</v>
      </c>
      <c r="T84" s="33">
        <f t="shared" si="18"/>
        <v>9</v>
      </c>
      <c r="U84" s="1">
        <v>0.0</v>
      </c>
      <c r="V84" s="3"/>
      <c r="W84" s="3"/>
      <c r="X84" s="3"/>
      <c r="Y84" s="3"/>
      <c r="Z84" s="3"/>
    </row>
    <row r="85">
      <c r="A85" s="48" t="s">
        <v>36</v>
      </c>
      <c r="B85" s="49">
        <f t="shared" si="13"/>
        <v>298</v>
      </c>
      <c r="C85" s="50">
        <v>30.0</v>
      </c>
      <c r="D85" s="51">
        <f t="shared" si="14"/>
        <v>298</v>
      </c>
      <c r="E85" s="68"/>
      <c r="F85" s="68"/>
      <c r="G85" s="53"/>
      <c r="H85" s="53"/>
      <c r="I85" s="68"/>
      <c r="J85" s="53"/>
      <c r="K85" s="52"/>
      <c r="L85" s="52"/>
      <c r="M85" s="74"/>
      <c r="N85" s="51">
        <f t="shared" si="15"/>
        <v>0</v>
      </c>
      <c r="O85" s="53"/>
      <c r="P85" s="53"/>
      <c r="Q85" s="69">
        <v>0.5</v>
      </c>
      <c r="R85" s="56">
        <f t="shared" si="16"/>
        <v>0.5</v>
      </c>
      <c r="S85" s="57">
        <f t="shared" si="17"/>
        <v>298.5</v>
      </c>
      <c r="T85" s="58">
        <f t="shared" si="18"/>
        <v>7</v>
      </c>
      <c r="U85" s="1">
        <v>2.0</v>
      </c>
      <c r="V85" s="3"/>
      <c r="W85" s="3"/>
      <c r="X85" s="3"/>
      <c r="Y85" s="3"/>
      <c r="Z85" s="3"/>
    </row>
    <row r="86">
      <c r="A86" s="3"/>
      <c r="B86" s="3"/>
      <c r="C86" s="3"/>
      <c r="D86" s="3"/>
      <c r="E86" s="59"/>
      <c r="F86" s="59"/>
      <c r="G86" s="60"/>
      <c r="H86" s="60"/>
      <c r="I86" s="59"/>
      <c r="J86" s="60"/>
      <c r="K86" s="59"/>
      <c r="L86" s="59"/>
      <c r="M86" s="61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62"/>
      <c r="B87" s="63" t="s">
        <v>37</v>
      </c>
      <c r="C87" s="3"/>
      <c r="D87" s="3"/>
      <c r="E87" s="59"/>
      <c r="F87" s="59"/>
      <c r="G87" s="60"/>
      <c r="H87" s="64"/>
      <c r="I87" s="70" t="s">
        <v>72</v>
      </c>
      <c r="J87" s="60"/>
      <c r="K87" s="59"/>
      <c r="L87" s="59"/>
      <c r="M87" s="71"/>
      <c r="N87" s="6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62"/>
      <c r="B88" s="65" t="s">
        <v>73</v>
      </c>
      <c r="C88" s="3"/>
      <c r="D88" s="3"/>
      <c r="E88" s="59"/>
      <c r="F88" s="59"/>
      <c r="G88" s="60"/>
      <c r="H88" s="64"/>
      <c r="I88" s="70" t="s">
        <v>74</v>
      </c>
      <c r="J88" s="60"/>
      <c r="K88" s="59"/>
      <c r="L88" s="59"/>
      <c r="M88" s="71"/>
      <c r="N88" s="63"/>
      <c r="O88" s="3"/>
      <c r="P88" s="62" t="s">
        <v>75</v>
      </c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65" t="s">
        <v>76</v>
      </c>
      <c r="C89" s="3"/>
      <c r="D89" s="3"/>
      <c r="E89" s="59"/>
      <c r="F89" s="59"/>
      <c r="G89" s="60"/>
      <c r="H89" s="60"/>
      <c r="I89" s="75" t="s">
        <v>77</v>
      </c>
      <c r="J89" s="60"/>
      <c r="K89" s="59"/>
      <c r="L89" s="59"/>
      <c r="M89" s="61"/>
      <c r="N89" s="3"/>
      <c r="O89" s="3"/>
      <c r="P89" s="76" t="s">
        <v>41</v>
      </c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65" t="s">
        <v>78</v>
      </c>
      <c r="C90" s="3"/>
      <c r="D90" s="3"/>
      <c r="E90" s="59"/>
      <c r="F90" s="59"/>
      <c r="G90" s="60"/>
      <c r="H90" s="60"/>
      <c r="I90" s="59"/>
      <c r="J90" s="60"/>
      <c r="K90" s="59"/>
      <c r="L90" s="59"/>
      <c r="M90" s="61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65" t="s">
        <v>79</v>
      </c>
      <c r="C91" s="3"/>
      <c r="D91" s="3"/>
      <c r="E91" s="59"/>
      <c r="F91" s="59"/>
      <c r="G91" s="60"/>
      <c r="H91" s="60"/>
      <c r="I91" s="59"/>
      <c r="J91" s="60"/>
      <c r="K91" s="59"/>
      <c r="L91" s="59"/>
      <c r="M91" s="71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65" t="s">
        <v>80</v>
      </c>
      <c r="C92" s="3"/>
      <c r="D92" s="3"/>
      <c r="E92" s="59"/>
      <c r="F92" s="59"/>
      <c r="G92" s="60"/>
      <c r="H92" s="60"/>
      <c r="I92" s="59"/>
      <c r="J92" s="60"/>
      <c r="K92" s="59"/>
      <c r="L92" s="59"/>
      <c r="M92" s="61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65" t="s">
        <v>81</v>
      </c>
      <c r="C93" s="3"/>
      <c r="D93" s="3"/>
      <c r="E93" s="59"/>
      <c r="F93" s="59"/>
      <c r="G93" s="60"/>
      <c r="H93" s="60"/>
      <c r="I93" s="59"/>
      <c r="J93" s="60"/>
      <c r="K93" s="59"/>
      <c r="L93" s="59"/>
      <c r="M93" s="61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65" t="s">
        <v>82</v>
      </c>
      <c r="C94" s="3"/>
      <c r="D94" s="3"/>
      <c r="E94" s="59"/>
      <c r="F94" s="59"/>
      <c r="G94" s="60"/>
      <c r="H94" s="60"/>
      <c r="I94" s="59"/>
      <c r="J94" s="60"/>
      <c r="K94" s="59"/>
      <c r="L94" s="59"/>
      <c r="M94" s="71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65" t="s">
        <v>83</v>
      </c>
      <c r="C95" s="3"/>
      <c r="D95" s="3"/>
      <c r="E95" s="59"/>
      <c r="F95" s="59"/>
      <c r="G95" s="60"/>
      <c r="H95" s="60"/>
      <c r="I95" s="59"/>
      <c r="J95" s="60"/>
      <c r="K95" s="59"/>
      <c r="L95" s="59"/>
      <c r="M95" s="72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76" t="s">
        <v>84</v>
      </c>
      <c r="C96" s="3"/>
      <c r="D96" s="3"/>
      <c r="E96" s="59"/>
      <c r="F96" s="59"/>
      <c r="G96" s="60"/>
      <c r="H96" s="60"/>
      <c r="I96" s="59"/>
      <c r="J96" s="60"/>
      <c r="K96" s="59"/>
      <c r="L96" s="59"/>
      <c r="M96" s="7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59"/>
      <c r="F97" s="59"/>
      <c r="G97" s="60"/>
      <c r="H97" s="60"/>
      <c r="I97" s="59"/>
      <c r="J97" s="60"/>
      <c r="K97" s="59"/>
      <c r="L97" s="59"/>
      <c r="M97" s="72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/>
      <c r="B98" s="77"/>
      <c r="C98" s="2"/>
      <c r="D98" s="2"/>
      <c r="E98" s="78"/>
      <c r="F98" s="78"/>
      <c r="G98" s="2"/>
      <c r="H98" s="2"/>
      <c r="I98" s="59"/>
      <c r="J98" s="60"/>
      <c r="K98" s="59"/>
      <c r="L98" s="59"/>
      <c r="M98" s="61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" t="s">
        <v>85</v>
      </c>
      <c r="U99" s="2"/>
      <c r="V99" s="3"/>
      <c r="W99" s="3"/>
      <c r="X99" s="3"/>
      <c r="Y99" s="3"/>
      <c r="Z99" s="3"/>
    </row>
    <row r="100">
      <c r="A100" s="1" t="s">
        <v>86</v>
      </c>
      <c r="U100" s="2"/>
      <c r="V100" s="3"/>
      <c r="W100" s="3"/>
      <c r="X100" s="3"/>
      <c r="Y100" s="3"/>
      <c r="Z100" s="3"/>
    </row>
    <row r="101">
      <c r="A101" s="2"/>
      <c r="B101" s="4"/>
      <c r="C101" s="2"/>
      <c r="D101" s="2"/>
      <c r="E101" s="5"/>
      <c r="F101" s="5"/>
      <c r="G101" s="6"/>
      <c r="H101" s="6"/>
      <c r="I101" s="5"/>
      <c r="J101" s="6"/>
      <c r="K101" s="5"/>
      <c r="L101" s="5"/>
      <c r="M101" s="7"/>
      <c r="N101" s="2"/>
      <c r="O101" s="2"/>
      <c r="P101" s="2"/>
      <c r="Q101" s="2"/>
      <c r="R101" s="2"/>
      <c r="S101" s="2"/>
      <c r="T101" s="2"/>
      <c r="U101" s="2"/>
      <c r="V101" s="3"/>
      <c r="W101" s="3"/>
      <c r="X101" s="3"/>
      <c r="Y101" s="3"/>
      <c r="Z101" s="3"/>
    </row>
    <row r="102">
      <c r="A102" s="8" t="s">
        <v>2</v>
      </c>
      <c r="B102" s="9" t="s">
        <v>3</v>
      </c>
      <c r="C102" s="10"/>
      <c r="D102" s="11"/>
      <c r="E102" s="12" t="s">
        <v>4</v>
      </c>
      <c r="F102" s="10"/>
      <c r="G102" s="10"/>
      <c r="H102" s="10"/>
      <c r="I102" s="10"/>
      <c r="J102" s="10"/>
      <c r="K102" s="10"/>
      <c r="L102" s="10"/>
      <c r="M102" s="10"/>
      <c r="N102" s="11"/>
      <c r="O102" s="13" t="s">
        <v>5</v>
      </c>
      <c r="P102" s="10"/>
      <c r="Q102" s="10"/>
      <c r="R102" s="11"/>
      <c r="S102" s="14" t="s">
        <v>6</v>
      </c>
      <c r="T102" s="14" t="s">
        <v>7</v>
      </c>
      <c r="U102" s="6"/>
      <c r="V102" s="3"/>
      <c r="W102" s="3"/>
      <c r="X102" s="3"/>
      <c r="Y102" s="3"/>
      <c r="Z102" s="3"/>
    </row>
    <row r="103">
      <c r="A103" s="15"/>
      <c r="B103" s="16" t="s">
        <v>8</v>
      </c>
      <c r="C103" s="17" t="s">
        <v>9</v>
      </c>
      <c r="D103" s="14" t="s">
        <v>10</v>
      </c>
      <c r="E103" s="17" t="s">
        <v>11</v>
      </c>
      <c r="F103" s="17" t="s">
        <v>12</v>
      </c>
      <c r="G103" s="17" t="s">
        <v>13</v>
      </c>
      <c r="H103" s="17" t="s">
        <v>14</v>
      </c>
      <c r="I103" s="17" t="s">
        <v>15</v>
      </c>
      <c r="J103" s="17" t="s">
        <v>16</v>
      </c>
      <c r="K103" s="17" t="s">
        <v>17</v>
      </c>
      <c r="L103" s="17" t="s">
        <v>18</v>
      </c>
      <c r="M103" s="18" t="s">
        <v>19</v>
      </c>
      <c r="N103" s="14" t="s">
        <v>20</v>
      </c>
      <c r="O103" s="17" t="s">
        <v>21</v>
      </c>
      <c r="P103" s="17" t="s">
        <v>22</v>
      </c>
      <c r="Q103" s="17" t="s">
        <v>23</v>
      </c>
      <c r="R103" s="14" t="s">
        <v>24</v>
      </c>
      <c r="S103" s="19"/>
      <c r="T103" s="19"/>
      <c r="U103" s="6"/>
      <c r="V103" s="3"/>
      <c r="W103" s="3"/>
      <c r="X103" s="3"/>
      <c r="Y103" s="3"/>
      <c r="Z103" s="3"/>
    </row>
    <row r="104">
      <c r="A104" s="20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6"/>
      <c r="V104" s="3"/>
      <c r="W104" s="3"/>
      <c r="X104" s="3"/>
      <c r="Y104" s="3"/>
      <c r="Z104" s="3"/>
    </row>
    <row r="105">
      <c r="A105" s="21">
        <v>10.0</v>
      </c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6"/>
      <c r="V105" s="3"/>
      <c r="W105" s="3"/>
      <c r="X105" s="3"/>
      <c r="Y105" s="3"/>
      <c r="Z105" s="3"/>
    </row>
    <row r="106">
      <c r="A106" s="23" t="s">
        <v>25</v>
      </c>
      <c r="B106" s="24">
        <f t="shared" ref="B106:B117" si="19">300-U106</f>
        <v>299</v>
      </c>
      <c r="C106" s="25">
        <v>30.0</v>
      </c>
      <c r="D106" s="26">
        <f t="shared" ref="D106:D117" si="20">B106</f>
        <v>299</v>
      </c>
      <c r="E106" s="28">
        <v>1.5</v>
      </c>
      <c r="F106" s="28"/>
      <c r="G106" s="29"/>
      <c r="H106" s="29"/>
      <c r="I106" s="28">
        <v>0.5</v>
      </c>
      <c r="J106" s="29"/>
      <c r="K106" s="28"/>
      <c r="L106" s="27"/>
      <c r="M106" s="73">
        <v>1.0</v>
      </c>
      <c r="N106" s="26">
        <f t="shared" ref="N106:N117" si="21">SUM(E106:M106)</f>
        <v>3</v>
      </c>
      <c r="O106" s="29"/>
      <c r="P106" s="29"/>
      <c r="Q106" s="66">
        <v>1.0</v>
      </c>
      <c r="R106" s="31">
        <f t="shared" ref="R106:R117" si="22">SUM(O106:Q106)</f>
        <v>1</v>
      </c>
      <c r="S106" s="32">
        <f t="shared" ref="S106:S117" si="23">D106-N106+R106</f>
        <v>297</v>
      </c>
      <c r="T106" s="33">
        <f t="shared" ref="T106:T117" si="24">RANK(S106,$S$106:$S$117,0)</f>
        <v>9</v>
      </c>
      <c r="U106" s="1">
        <v>1.0</v>
      </c>
      <c r="V106" s="3"/>
      <c r="W106" s="3"/>
      <c r="X106" s="3"/>
      <c r="Y106" s="3"/>
      <c r="Z106" s="3"/>
    </row>
    <row r="107">
      <c r="A107" s="35" t="s">
        <v>26</v>
      </c>
      <c r="B107" s="24">
        <f t="shared" si="19"/>
        <v>300</v>
      </c>
      <c r="C107" s="36">
        <v>30.0</v>
      </c>
      <c r="D107" s="37">
        <f t="shared" si="20"/>
        <v>300</v>
      </c>
      <c r="E107" s="38"/>
      <c r="F107" s="39"/>
      <c r="G107" s="40"/>
      <c r="H107" s="40"/>
      <c r="I107" s="39"/>
      <c r="J107" s="40"/>
      <c r="K107" s="38"/>
      <c r="L107" s="38"/>
      <c r="M107" s="41"/>
      <c r="N107" s="37">
        <f t="shared" si="21"/>
        <v>0</v>
      </c>
      <c r="O107" s="40"/>
      <c r="P107" s="40"/>
      <c r="Q107" s="67">
        <v>1.0</v>
      </c>
      <c r="R107" s="42">
        <f t="shared" si="22"/>
        <v>1</v>
      </c>
      <c r="S107" s="43">
        <f t="shared" si="23"/>
        <v>301</v>
      </c>
      <c r="T107" s="33">
        <f t="shared" si="24"/>
        <v>2</v>
      </c>
      <c r="U107" s="34">
        <v>0.0</v>
      </c>
      <c r="V107" s="3"/>
      <c r="W107" s="3"/>
      <c r="X107" s="3"/>
      <c r="Y107" s="3"/>
      <c r="Z107" s="3"/>
    </row>
    <row r="108">
      <c r="A108" s="35" t="s">
        <v>27</v>
      </c>
      <c r="B108" s="24">
        <f t="shared" si="19"/>
        <v>300</v>
      </c>
      <c r="C108" s="36">
        <v>30.0</v>
      </c>
      <c r="D108" s="37">
        <f t="shared" si="20"/>
        <v>300</v>
      </c>
      <c r="E108" s="39">
        <v>3.0</v>
      </c>
      <c r="F108" s="38"/>
      <c r="G108" s="40"/>
      <c r="H108" s="40"/>
      <c r="I108" s="39">
        <v>1.0</v>
      </c>
      <c r="J108" s="40"/>
      <c r="K108" s="39">
        <v>1.0</v>
      </c>
      <c r="L108" s="38"/>
      <c r="M108" s="41"/>
      <c r="N108" s="37">
        <f t="shared" si="21"/>
        <v>5</v>
      </c>
      <c r="O108" s="40"/>
      <c r="P108" s="40"/>
      <c r="Q108" s="67">
        <v>1.0</v>
      </c>
      <c r="R108" s="42">
        <f t="shared" si="22"/>
        <v>1</v>
      </c>
      <c r="S108" s="45">
        <f t="shared" si="23"/>
        <v>296</v>
      </c>
      <c r="T108" s="33">
        <f t="shared" si="24"/>
        <v>11</v>
      </c>
      <c r="U108" s="1">
        <v>0.0</v>
      </c>
      <c r="V108" s="3"/>
      <c r="W108" s="3"/>
      <c r="X108" s="3"/>
      <c r="Y108" s="3"/>
      <c r="Z108" s="3"/>
    </row>
    <row r="109">
      <c r="A109" s="35" t="s">
        <v>28</v>
      </c>
      <c r="B109" s="24">
        <f t="shared" si="19"/>
        <v>300</v>
      </c>
      <c r="C109" s="36">
        <v>30.0</v>
      </c>
      <c r="D109" s="37">
        <f t="shared" si="20"/>
        <v>300</v>
      </c>
      <c r="E109" s="39">
        <v>1.5</v>
      </c>
      <c r="F109" s="39"/>
      <c r="G109" s="40"/>
      <c r="H109" s="40"/>
      <c r="I109" s="39"/>
      <c r="J109" s="40"/>
      <c r="K109" s="38"/>
      <c r="L109" s="38"/>
      <c r="M109" s="41"/>
      <c r="N109" s="37">
        <f t="shared" si="21"/>
        <v>1.5</v>
      </c>
      <c r="O109" s="40"/>
      <c r="P109" s="40"/>
      <c r="Q109" s="46">
        <v>1.0</v>
      </c>
      <c r="R109" s="42">
        <f t="shared" si="22"/>
        <v>1</v>
      </c>
      <c r="S109" s="45">
        <f t="shared" si="23"/>
        <v>299.5</v>
      </c>
      <c r="T109" s="33">
        <f t="shared" si="24"/>
        <v>5</v>
      </c>
      <c r="U109" s="34">
        <v>0.0</v>
      </c>
      <c r="V109" s="3"/>
      <c r="W109" s="3"/>
      <c r="X109" s="3"/>
      <c r="Y109" s="3"/>
      <c r="Z109" s="3"/>
    </row>
    <row r="110">
      <c r="A110" s="35" t="s">
        <v>29</v>
      </c>
      <c r="B110" s="24">
        <f t="shared" si="19"/>
        <v>300</v>
      </c>
      <c r="C110" s="36">
        <v>30.0</v>
      </c>
      <c r="D110" s="37">
        <f t="shared" si="20"/>
        <v>300</v>
      </c>
      <c r="E110" s="39">
        <v>3.0</v>
      </c>
      <c r="F110" s="39">
        <v>1.0</v>
      </c>
      <c r="G110" s="40"/>
      <c r="H110" s="40"/>
      <c r="I110" s="39"/>
      <c r="J110" s="40"/>
      <c r="K110" s="38"/>
      <c r="L110" s="38"/>
      <c r="M110" s="41">
        <v>0.5</v>
      </c>
      <c r="N110" s="37">
        <f t="shared" si="21"/>
        <v>4.5</v>
      </c>
      <c r="O110" s="40"/>
      <c r="P110" s="40"/>
      <c r="Q110" s="46">
        <v>1.0</v>
      </c>
      <c r="R110" s="42">
        <f t="shared" si="22"/>
        <v>1</v>
      </c>
      <c r="S110" s="45">
        <f t="shared" si="23"/>
        <v>296.5</v>
      </c>
      <c r="T110" s="33">
        <f t="shared" si="24"/>
        <v>10</v>
      </c>
      <c r="U110" s="34">
        <v>0.0</v>
      </c>
      <c r="V110" s="3"/>
      <c r="W110" s="3"/>
      <c r="X110" s="3"/>
      <c r="Y110" s="3"/>
      <c r="Z110" s="3"/>
    </row>
    <row r="111">
      <c r="A111" s="35" t="s">
        <v>30</v>
      </c>
      <c r="B111" s="24">
        <f t="shared" si="19"/>
        <v>298</v>
      </c>
      <c r="C111" s="36">
        <v>30.0</v>
      </c>
      <c r="D111" s="37">
        <f t="shared" si="20"/>
        <v>298</v>
      </c>
      <c r="E111" s="39"/>
      <c r="F111" s="39"/>
      <c r="G111" s="40"/>
      <c r="H111" s="40"/>
      <c r="I111" s="39"/>
      <c r="J111" s="40"/>
      <c r="K111" s="38"/>
      <c r="L111" s="38"/>
      <c r="M111" s="41"/>
      <c r="N111" s="37">
        <f t="shared" si="21"/>
        <v>0</v>
      </c>
      <c r="O111" s="40"/>
      <c r="P111" s="40"/>
      <c r="Q111" s="46">
        <v>1.0</v>
      </c>
      <c r="R111" s="42">
        <f t="shared" si="22"/>
        <v>1</v>
      </c>
      <c r="S111" s="45">
        <f t="shared" si="23"/>
        <v>299</v>
      </c>
      <c r="T111" s="33">
        <f t="shared" si="24"/>
        <v>6</v>
      </c>
      <c r="U111" s="1">
        <v>2.0</v>
      </c>
      <c r="V111" s="3"/>
      <c r="W111" s="3"/>
      <c r="X111" s="3"/>
      <c r="Y111" s="3"/>
      <c r="Z111" s="3"/>
    </row>
    <row r="112">
      <c r="A112" s="35" t="s">
        <v>31</v>
      </c>
      <c r="B112" s="24">
        <f t="shared" si="19"/>
        <v>300</v>
      </c>
      <c r="C112" s="36">
        <v>30.0</v>
      </c>
      <c r="D112" s="37">
        <f t="shared" si="20"/>
        <v>300</v>
      </c>
      <c r="E112" s="38"/>
      <c r="F112" s="39"/>
      <c r="G112" s="40"/>
      <c r="H112" s="40"/>
      <c r="I112" s="39"/>
      <c r="J112" s="38"/>
      <c r="K112" s="39"/>
      <c r="L112" s="38"/>
      <c r="M112" s="41"/>
      <c r="N112" s="37">
        <f t="shared" si="21"/>
        <v>0</v>
      </c>
      <c r="O112" s="40"/>
      <c r="P112" s="40"/>
      <c r="Q112" s="67">
        <v>1.0</v>
      </c>
      <c r="R112" s="42">
        <f t="shared" si="22"/>
        <v>1</v>
      </c>
      <c r="S112" s="45">
        <f t="shared" si="23"/>
        <v>301</v>
      </c>
      <c r="T112" s="33">
        <f t="shared" si="24"/>
        <v>2</v>
      </c>
      <c r="U112" s="1">
        <v>0.0</v>
      </c>
      <c r="V112" s="3"/>
      <c r="W112" s="3"/>
      <c r="X112" s="3"/>
      <c r="Y112" s="3"/>
      <c r="Z112" s="3"/>
    </row>
    <row r="113">
      <c r="A113" s="35" t="s">
        <v>32</v>
      </c>
      <c r="B113" s="24">
        <f t="shared" si="19"/>
        <v>298</v>
      </c>
      <c r="C113" s="36">
        <v>30.0</v>
      </c>
      <c r="D113" s="37">
        <f t="shared" si="20"/>
        <v>298</v>
      </c>
      <c r="E113" s="39">
        <v>1.5</v>
      </c>
      <c r="F113" s="39">
        <v>0.5</v>
      </c>
      <c r="G113" s="40"/>
      <c r="H113" s="40"/>
      <c r="I113" s="38"/>
      <c r="J113" s="40"/>
      <c r="K113" s="39">
        <v>1.0</v>
      </c>
      <c r="L113" s="38"/>
      <c r="M113" s="41"/>
      <c r="N113" s="37">
        <f t="shared" si="21"/>
        <v>3</v>
      </c>
      <c r="O113" s="40"/>
      <c r="P113" s="40"/>
      <c r="Q113" s="67">
        <v>1.0</v>
      </c>
      <c r="R113" s="42">
        <f t="shared" si="22"/>
        <v>1</v>
      </c>
      <c r="S113" s="47">
        <f t="shared" si="23"/>
        <v>296</v>
      </c>
      <c r="T113" s="33">
        <f t="shared" si="24"/>
        <v>11</v>
      </c>
      <c r="U113" s="1">
        <v>2.0</v>
      </c>
      <c r="V113" s="3"/>
      <c r="W113" s="3"/>
      <c r="X113" s="3"/>
      <c r="Y113" s="3"/>
      <c r="Z113" s="3"/>
    </row>
    <row r="114">
      <c r="A114" s="35" t="s">
        <v>33</v>
      </c>
      <c r="B114" s="24">
        <f t="shared" si="19"/>
        <v>299</v>
      </c>
      <c r="C114" s="36">
        <v>30.0</v>
      </c>
      <c r="D114" s="37">
        <f t="shared" si="20"/>
        <v>299</v>
      </c>
      <c r="E114" s="39"/>
      <c r="F114" s="38"/>
      <c r="G114" s="40"/>
      <c r="H114" s="40"/>
      <c r="I114" s="39"/>
      <c r="J114" s="38"/>
      <c r="K114" s="39"/>
      <c r="L114" s="38"/>
      <c r="M114" s="41"/>
      <c r="N114" s="37">
        <f t="shared" si="21"/>
        <v>0</v>
      </c>
      <c r="O114" s="40"/>
      <c r="P114" s="40"/>
      <c r="Q114" s="46">
        <v>1.0</v>
      </c>
      <c r="R114" s="42">
        <f t="shared" si="22"/>
        <v>1</v>
      </c>
      <c r="S114" s="47">
        <f t="shared" si="23"/>
        <v>300</v>
      </c>
      <c r="T114" s="33">
        <f t="shared" si="24"/>
        <v>4</v>
      </c>
      <c r="U114" s="1">
        <v>1.0</v>
      </c>
      <c r="V114" s="3"/>
      <c r="W114" s="3"/>
      <c r="X114" s="3"/>
      <c r="Y114" s="3"/>
      <c r="Z114" s="3"/>
    </row>
    <row r="115">
      <c r="A115" s="35" t="s">
        <v>34</v>
      </c>
      <c r="B115" s="24">
        <f t="shared" si="19"/>
        <v>300</v>
      </c>
      <c r="C115" s="36">
        <v>30.0</v>
      </c>
      <c r="D115" s="37">
        <f t="shared" si="20"/>
        <v>300</v>
      </c>
      <c r="E115" s="39">
        <v>1.5</v>
      </c>
      <c r="F115" s="39"/>
      <c r="G115" s="40"/>
      <c r="H115" s="40"/>
      <c r="I115" s="39"/>
      <c r="J115" s="40"/>
      <c r="K115" s="39">
        <v>1.0</v>
      </c>
      <c r="L115" s="38"/>
      <c r="M115" s="41"/>
      <c r="N115" s="37">
        <f t="shared" si="21"/>
        <v>2.5</v>
      </c>
      <c r="O115" s="40"/>
      <c r="P115" s="40"/>
      <c r="Q115" s="67">
        <v>5.0</v>
      </c>
      <c r="R115" s="42">
        <f t="shared" si="22"/>
        <v>5</v>
      </c>
      <c r="S115" s="43">
        <f t="shared" si="23"/>
        <v>302.5</v>
      </c>
      <c r="T115" s="33">
        <f t="shared" si="24"/>
        <v>1</v>
      </c>
      <c r="U115" s="34">
        <v>0.0</v>
      </c>
      <c r="V115" s="3"/>
      <c r="W115" s="3"/>
      <c r="X115" s="3"/>
      <c r="Y115" s="3"/>
      <c r="Z115" s="3"/>
    </row>
    <row r="116">
      <c r="A116" s="35" t="s">
        <v>35</v>
      </c>
      <c r="B116" s="24">
        <f t="shared" si="19"/>
        <v>300</v>
      </c>
      <c r="C116" s="36">
        <v>30.0</v>
      </c>
      <c r="D116" s="37">
        <f t="shared" si="20"/>
        <v>300</v>
      </c>
      <c r="E116" s="39">
        <v>1.5</v>
      </c>
      <c r="F116" s="39"/>
      <c r="G116" s="40"/>
      <c r="H116" s="40"/>
      <c r="I116" s="39"/>
      <c r="J116" s="40"/>
      <c r="K116" s="39"/>
      <c r="L116" s="38"/>
      <c r="M116" s="41">
        <v>0.5</v>
      </c>
      <c r="N116" s="37">
        <f t="shared" si="21"/>
        <v>2</v>
      </c>
      <c r="O116" s="40"/>
      <c r="P116" s="40"/>
      <c r="Q116" s="67">
        <v>1.0</v>
      </c>
      <c r="R116" s="42">
        <f t="shared" si="22"/>
        <v>1</v>
      </c>
      <c r="S116" s="45">
        <f t="shared" si="23"/>
        <v>299</v>
      </c>
      <c r="T116" s="33">
        <f t="shared" si="24"/>
        <v>6</v>
      </c>
      <c r="U116" s="1">
        <v>0.0</v>
      </c>
      <c r="V116" s="3"/>
      <c r="W116" s="3"/>
      <c r="X116" s="3"/>
      <c r="Y116" s="3"/>
      <c r="Z116" s="3"/>
    </row>
    <row r="117">
      <c r="A117" s="48" t="s">
        <v>36</v>
      </c>
      <c r="B117" s="49">
        <f t="shared" si="19"/>
        <v>300</v>
      </c>
      <c r="C117" s="50">
        <v>30.0</v>
      </c>
      <c r="D117" s="51">
        <f t="shared" si="20"/>
        <v>300</v>
      </c>
      <c r="E117" s="68">
        <v>1.5</v>
      </c>
      <c r="F117" s="68"/>
      <c r="G117" s="53"/>
      <c r="H117" s="53"/>
      <c r="I117" s="68"/>
      <c r="J117" s="53"/>
      <c r="K117" s="52"/>
      <c r="L117" s="52"/>
      <c r="M117" s="74"/>
      <c r="N117" s="51">
        <f t="shared" si="21"/>
        <v>1.5</v>
      </c>
      <c r="O117" s="53"/>
      <c r="P117" s="53"/>
      <c r="Q117" s="69"/>
      <c r="R117" s="56">
        <f t="shared" si="22"/>
        <v>0</v>
      </c>
      <c r="S117" s="57">
        <f t="shared" si="23"/>
        <v>298.5</v>
      </c>
      <c r="T117" s="58">
        <f t="shared" si="24"/>
        <v>8</v>
      </c>
      <c r="U117" s="1">
        <v>0.0</v>
      </c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59"/>
      <c r="F118" s="59"/>
      <c r="G118" s="60"/>
      <c r="H118" s="60"/>
      <c r="I118" s="59"/>
      <c r="J118" s="60"/>
      <c r="K118" s="59"/>
      <c r="L118" s="59"/>
      <c r="M118" s="61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62"/>
      <c r="B119" s="63" t="s">
        <v>37</v>
      </c>
      <c r="C119" s="3"/>
      <c r="D119" s="3"/>
      <c r="E119" s="59"/>
      <c r="F119" s="59"/>
      <c r="G119" s="60"/>
      <c r="H119" s="64"/>
      <c r="I119" s="79" t="s">
        <v>87</v>
      </c>
      <c r="J119" s="60"/>
      <c r="K119" s="59"/>
      <c r="L119" s="59"/>
      <c r="M119" s="71"/>
      <c r="N119" s="6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62"/>
      <c r="B120" s="65" t="s">
        <v>88</v>
      </c>
      <c r="C120" s="3"/>
      <c r="D120" s="3"/>
      <c r="E120" s="59"/>
      <c r="F120" s="59"/>
      <c r="G120" s="60"/>
      <c r="H120" s="64"/>
      <c r="I120" s="70"/>
      <c r="J120" s="60"/>
      <c r="K120" s="59"/>
      <c r="L120" s="59"/>
      <c r="M120" s="71"/>
      <c r="N120" s="63"/>
      <c r="O120" s="3"/>
      <c r="P120" s="62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65" t="s">
        <v>89</v>
      </c>
      <c r="C121" s="3"/>
      <c r="D121" s="3"/>
      <c r="E121" s="59"/>
      <c r="F121" s="59"/>
      <c r="G121" s="60"/>
      <c r="H121" s="60"/>
      <c r="I121" s="75"/>
      <c r="J121" s="60"/>
      <c r="K121" s="59"/>
      <c r="L121" s="80" t="s">
        <v>90</v>
      </c>
      <c r="M121" s="61"/>
      <c r="N121" s="3"/>
      <c r="O121" s="3"/>
      <c r="P121" s="76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65" t="s">
        <v>91</v>
      </c>
      <c r="C122" s="3"/>
      <c r="D122" s="3"/>
      <c r="E122" s="59"/>
      <c r="F122" s="59"/>
      <c r="G122" s="60"/>
      <c r="H122" s="60"/>
      <c r="I122" s="59"/>
      <c r="J122" s="60"/>
      <c r="K122" s="59"/>
      <c r="L122" s="81" t="s">
        <v>92</v>
      </c>
      <c r="M122" s="61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65" t="s">
        <v>93</v>
      </c>
      <c r="C123" s="3"/>
      <c r="D123" s="3"/>
      <c r="E123" s="59"/>
      <c r="F123" s="59"/>
      <c r="G123" s="60"/>
      <c r="H123" s="60"/>
      <c r="I123" s="59"/>
      <c r="J123" s="60"/>
      <c r="K123" s="59"/>
      <c r="L123" s="81" t="s">
        <v>94</v>
      </c>
      <c r="M123" s="71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65" t="s">
        <v>95</v>
      </c>
      <c r="C124" s="3"/>
      <c r="D124" s="3"/>
      <c r="E124" s="59"/>
      <c r="F124" s="59"/>
      <c r="G124" s="60"/>
      <c r="H124" s="60"/>
      <c r="I124" s="59"/>
      <c r="J124" s="60"/>
      <c r="K124" s="59"/>
      <c r="L124" s="82"/>
      <c r="M124" s="71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65" t="s">
        <v>96</v>
      </c>
      <c r="C125" s="3"/>
      <c r="D125" s="3"/>
      <c r="E125" s="59"/>
      <c r="F125" s="59"/>
      <c r="G125" s="60"/>
      <c r="H125" s="60"/>
      <c r="I125" s="59"/>
      <c r="J125" s="60"/>
      <c r="K125" s="59"/>
      <c r="L125" s="70" t="s">
        <v>97</v>
      </c>
      <c r="M125" s="61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65" t="s">
        <v>98</v>
      </c>
      <c r="C126" s="3"/>
      <c r="D126" s="3"/>
      <c r="E126" s="59"/>
      <c r="F126" s="59"/>
      <c r="G126" s="60"/>
      <c r="H126" s="60"/>
      <c r="I126" s="59"/>
      <c r="J126" s="60"/>
      <c r="K126" s="59"/>
      <c r="L126" s="79" t="s">
        <v>99</v>
      </c>
      <c r="M126" s="71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65" t="s">
        <v>100</v>
      </c>
      <c r="C127" s="3"/>
      <c r="D127" s="3"/>
      <c r="E127" s="59"/>
      <c r="F127" s="59"/>
      <c r="G127" s="60"/>
      <c r="H127" s="60"/>
      <c r="I127" s="59"/>
      <c r="J127" s="60"/>
      <c r="K127" s="59"/>
      <c r="L127" s="59"/>
      <c r="M127" s="71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65" t="s">
        <v>101</v>
      </c>
      <c r="C128" s="3"/>
      <c r="D128" s="3"/>
      <c r="E128" s="59"/>
      <c r="F128" s="59"/>
      <c r="G128" s="60"/>
      <c r="H128" s="60"/>
      <c r="I128" s="59"/>
      <c r="J128" s="60"/>
      <c r="K128" s="59"/>
      <c r="L128" s="59"/>
      <c r="M128" s="72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76" t="s">
        <v>102</v>
      </c>
      <c r="C129" s="3"/>
      <c r="D129" s="3"/>
      <c r="E129" s="59"/>
      <c r="F129" s="59"/>
      <c r="G129" s="60"/>
      <c r="H129" s="60"/>
      <c r="I129" s="59"/>
      <c r="J129" s="60"/>
      <c r="K129" s="59"/>
      <c r="L129" s="59"/>
      <c r="M129" s="72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59"/>
      <c r="F130" s="59"/>
      <c r="G130" s="60"/>
      <c r="H130" s="60"/>
      <c r="I130" s="59"/>
      <c r="J130" s="60"/>
      <c r="K130" s="59"/>
      <c r="L130" s="59"/>
      <c r="M130" s="72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/>
      <c r="B131" s="77"/>
      <c r="C131" s="2"/>
      <c r="D131" s="2"/>
      <c r="E131" s="78"/>
      <c r="F131" s="78"/>
      <c r="G131" s="2"/>
      <c r="H131" s="2"/>
      <c r="I131" s="59"/>
      <c r="J131" s="60"/>
      <c r="K131" s="59"/>
      <c r="L131" s="59"/>
      <c r="M131" s="61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59"/>
      <c r="F132" s="59"/>
      <c r="G132" s="60"/>
      <c r="H132" s="60"/>
      <c r="I132" s="59"/>
      <c r="J132" s="60"/>
      <c r="K132" s="59"/>
      <c r="L132" s="59"/>
      <c r="M132" s="61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" t="s">
        <v>103</v>
      </c>
      <c r="U133" s="2"/>
      <c r="V133" s="3"/>
      <c r="W133" s="3"/>
      <c r="X133" s="3"/>
      <c r="Y133" s="3"/>
      <c r="Z133" s="3"/>
    </row>
    <row r="134">
      <c r="A134" s="1" t="s">
        <v>104</v>
      </c>
      <c r="U134" s="2"/>
      <c r="V134" s="3"/>
      <c r="W134" s="3"/>
      <c r="X134" s="3"/>
      <c r="Y134" s="3"/>
      <c r="Z134" s="3"/>
    </row>
    <row r="135">
      <c r="A135" s="2"/>
      <c r="B135" s="4"/>
      <c r="C135" s="2"/>
      <c r="D135" s="2"/>
      <c r="E135" s="5"/>
      <c r="F135" s="5"/>
      <c r="G135" s="6"/>
      <c r="H135" s="6"/>
      <c r="I135" s="5"/>
      <c r="J135" s="6"/>
      <c r="K135" s="5"/>
      <c r="L135" s="5"/>
      <c r="M135" s="7"/>
      <c r="N135" s="2"/>
      <c r="O135" s="2"/>
      <c r="P135" s="2"/>
      <c r="Q135" s="2"/>
      <c r="R135" s="2"/>
      <c r="S135" s="2"/>
      <c r="T135" s="2"/>
      <c r="U135" s="2"/>
      <c r="V135" s="3"/>
      <c r="W135" s="3"/>
      <c r="X135" s="3"/>
      <c r="Y135" s="3"/>
      <c r="Z135" s="3"/>
    </row>
    <row r="136">
      <c r="A136" s="8" t="s">
        <v>2</v>
      </c>
      <c r="B136" s="9" t="s">
        <v>3</v>
      </c>
      <c r="C136" s="10"/>
      <c r="D136" s="11"/>
      <c r="E136" s="12" t="s">
        <v>4</v>
      </c>
      <c r="F136" s="10"/>
      <c r="G136" s="10"/>
      <c r="H136" s="10"/>
      <c r="I136" s="10"/>
      <c r="J136" s="10"/>
      <c r="K136" s="10"/>
      <c r="L136" s="10"/>
      <c r="M136" s="10"/>
      <c r="N136" s="11"/>
      <c r="O136" s="13" t="s">
        <v>5</v>
      </c>
      <c r="P136" s="10"/>
      <c r="Q136" s="10"/>
      <c r="R136" s="11"/>
      <c r="S136" s="14" t="s">
        <v>6</v>
      </c>
      <c r="T136" s="14" t="s">
        <v>7</v>
      </c>
      <c r="U136" s="6"/>
      <c r="V136" s="3"/>
      <c r="W136" s="3"/>
      <c r="X136" s="3"/>
      <c r="Y136" s="3"/>
      <c r="Z136" s="3"/>
    </row>
    <row r="137">
      <c r="A137" s="15"/>
      <c r="B137" s="16" t="s">
        <v>8</v>
      </c>
      <c r="C137" s="17" t="s">
        <v>9</v>
      </c>
      <c r="D137" s="14" t="s">
        <v>10</v>
      </c>
      <c r="E137" s="17" t="s">
        <v>11</v>
      </c>
      <c r="F137" s="17" t="s">
        <v>12</v>
      </c>
      <c r="G137" s="17" t="s">
        <v>13</v>
      </c>
      <c r="H137" s="17" t="s">
        <v>14</v>
      </c>
      <c r="I137" s="17" t="s">
        <v>15</v>
      </c>
      <c r="J137" s="17" t="s">
        <v>16</v>
      </c>
      <c r="K137" s="17" t="s">
        <v>17</v>
      </c>
      <c r="L137" s="17" t="s">
        <v>18</v>
      </c>
      <c r="M137" s="18" t="s">
        <v>19</v>
      </c>
      <c r="N137" s="14" t="s">
        <v>20</v>
      </c>
      <c r="O137" s="17" t="s">
        <v>21</v>
      </c>
      <c r="P137" s="17" t="s">
        <v>22</v>
      </c>
      <c r="Q137" s="17" t="s">
        <v>23</v>
      </c>
      <c r="R137" s="14" t="s">
        <v>24</v>
      </c>
      <c r="S137" s="19"/>
      <c r="T137" s="19"/>
      <c r="U137" s="6"/>
      <c r="V137" s="3"/>
      <c r="W137" s="3"/>
      <c r="X137" s="3"/>
      <c r="Y137" s="3"/>
      <c r="Z137" s="3"/>
    </row>
    <row r="138">
      <c r="A138" s="20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6"/>
      <c r="V138" s="3"/>
      <c r="W138" s="3"/>
      <c r="X138" s="3"/>
      <c r="Y138" s="3"/>
      <c r="Z138" s="3"/>
    </row>
    <row r="139">
      <c r="A139" s="21">
        <v>10.0</v>
      </c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6"/>
      <c r="V139" s="3"/>
      <c r="W139" s="3"/>
      <c r="X139" s="3"/>
      <c r="Y139" s="3"/>
      <c r="Z139" s="3"/>
    </row>
    <row r="140">
      <c r="A140" s="23" t="s">
        <v>25</v>
      </c>
      <c r="B140" s="24">
        <f t="shared" ref="B140:B151" si="25">300-U140</f>
        <v>300</v>
      </c>
      <c r="C140" s="25">
        <v>30.0</v>
      </c>
      <c r="D140" s="26">
        <f t="shared" ref="D140:D151" si="26">B140</f>
        <v>300</v>
      </c>
      <c r="E140" s="28"/>
      <c r="F140" s="28"/>
      <c r="G140" s="29"/>
      <c r="H140" s="29"/>
      <c r="I140" s="28"/>
      <c r="J140" s="29"/>
      <c r="K140" s="28"/>
      <c r="L140" s="27"/>
      <c r="M140" s="73"/>
      <c r="N140" s="26">
        <f t="shared" ref="N140:N151" si="27">SUM(E140:M140)</f>
        <v>0</v>
      </c>
      <c r="O140" s="29"/>
      <c r="P140" s="29"/>
      <c r="Q140" s="83">
        <v>1.0</v>
      </c>
      <c r="R140" s="31">
        <f t="shared" ref="R140:R151" si="28">SUM(O140:Q140)</f>
        <v>1</v>
      </c>
      <c r="S140" s="32">
        <f t="shared" ref="S140:S151" si="29">D140-N140+R140</f>
        <v>301</v>
      </c>
      <c r="T140" s="33">
        <f t="shared" ref="T140:T151" si="30">RANK(S140,$S$140:$S$151,0)</f>
        <v>1</v>
      </c>
      <c r="U140" s="1">
        <v>0.0</v>
      </c>
      <c r="V140" s="3"/>
      <c r="W140" s="3"/>
      <c r="X140" s="3"/>
      <c r="Y140" s="3"/>
      <c r="Z140" s="3"/>
    </row>
    <row r="141">
      <c r="A141" s="35" t="s">
        <v>26</v>
      </c>
      <c r="B141" s="24">
        <f t="shared" si="25"/>
        <v>300</v>
      </c>
      <c r="C141" s="36">
        <v>30.0</v>
      </c>
      <c r="D141" s="37">
        <f t="shared" si="26"/>
        <v>300</v>
      </c>
      <c r="E141" s="38"/>
      <c r="F141" s="39"/>
      <c r="G141" s="40"/>
      <c r="H141" s="40"/>
      <c r="I141" s="39"/>
      <c r="J141" s="40"/>
      <c r="K141" s="38"/>
      <c r="L141" s="38"/>
      <c r="M141" s="41"/>
      <c r="N141" s="37">
        <f t="shared" si="27"/>
        <v>0</v>
      </c>
      <c r="O141" s="40"/>
      <c r="P141" s="40"/>
      <c r="Q141" s="67">
        <v>1.0</v>
      </c>
      <c r="R141" s="42">
        <f t="shared" si="28"/>
        <v>1</v>
      </c>
      <c r="S141" s="43">
        <f t="shared" si="29"/>
        <v>301</v>
      </c>
      <c r="T141" s="33">
        <f t="shared" si="30"/>
        <v>1</v>
      </c>
      <c r="U141" s="34">
        <v>0.0</v>
      </c>
      <c r="V141" s="3"/>
      <c r="W141" s="3"/>
      <c r="X141" s="3"/>
      <c r="Y141" s="3"/>
      <c r="Z141" s="3"/>
    </row>
    <row r="142">
      <c r="A142" s="35" t="s">
        <v>27</v>
      </c>
      <c r="B142" s="24">
        <f t="shared" si="25"/>
        <v>299</v>
      </c>
      <c r="C142" s="36">
        <v>30.0</v>
      </c>
      <c r="D142" s="37">
        <f t="shared" si="26"/>
        <v>299</v>
      </c>
      <c r="E142" s="39"/>
      <c r="F142" s="38"/>
      <c r="G142" s="40"/>
      <c r="H142" s="40"/>
      <c r="I142" s="41">
        <v>0.5</v>
      </c>
      <c r="J142" s="40"/>
      <c r="K142" s="39"/>
      <c r="L142" s="38"/>
      <c r="M142" s="41"/>
      <c r="N142" s="37">
        <f t="shared" si="27"/>
        <v>0.5</v>
      </c>
      <c r="O142" s="40"/>
      <c r="P142" s="40"/>
      <c r="Q142" s="67">
        <v>0.5</v>
      </c>
      <c r="R142" s="42">
        <f t="shared" si="28"/>
        <v>0.5</v>
      </c>
      <c r="S142" s="45">
        <f t="shared" si="29"/>
        <v>299</v>
      </c>
      <c r="T142" s="33">
        <f t="shared" si="30"/>
        <v>10</v>
      </c>
      <c r="U142" s="1">
        <v>1.0</v>
      </c>
      <c r="V142" s="3"/>
      <c r="W142" s="3"/>
      <c r="X142" s="3"/>
      <c r="Y142" s="3"/>
      <c r="Z142" s="3"/>
    </row>
    <row r="143">
      <c r="A143" s="35" t="s">
        <v>28</v>
      </c>
      <c r="B143" s="24">
        <f t="shared" si="25"/>
        <v>299</v>
      </c>
      <c r="C143" s="36">
        <v>30.0</v>
      </c>
      <c r="D143" s="37">
        <f t="shared" si="26"/>
        <v>299</v>
      </c>
      <c r="E143" s="39"/>
      <c r="F143" s="39"/>
      <c r="G143" s="40"/>
      <c r="H143" s="40"/>
      <c r="I143" s="39"/>
      <c r="J143" s="40"/>
      <c r="K143" s="38"/>
      <c r="L143" s="39">
        <v>0.5</v>
      </c>
      <c r="M143" s="41"/>
      <c r="N143" s="37">
        <f t="shared" si="27"/>
        <v>0.5</v>
      </c>
      <c r="O143" s="40"/>
      <c r="P143" s="40"/>
      <c r="Q143" s="67">
        <v>1.0</v>
      </c>
      <c r="R143" s="42">
        <f t="shared" si="28"/>
        <v>1</v>
      </c>
      <c r="S143" s="45">
        <f t="shared" si="29"/>
        <v>299.5</v>
      </c>
      <c r="T143" s="33">
        <f t="shared" si="30"/>
        <v>8</v>
      </c>
      <c r="U143" s="1">
        <v>1.0</v>
      </c>
      <c r="V143" s="3"/>
      <c r="W143" s="3"/>
      <c r="X143" s="3"/>
      <c r="Y143" s="3"/>
      <c r="Z143" s="3"/>
    </row>
    <row r="144">
      <c r="A144" s="35" t="s">
        <v>29</v>
      </c>
      <c r="B144" s="24">
        <f t="shared" si="25"/>
        <v>299</v>
      </c>
      <c r="C144" s="36">
        <v>30.0</v>
      </c>
      <c r="D144" s="37">
        <f t="shared" si="26"/>
        <v>299</v>
      </c>
      <c r="E144" s="39"/>
      <c r="F144" s="39"/>
      <c r="G144" s="40"/>
      <c r="H144" s="40"/>
      <c r="I144" s="39"/>
      <c r="J144" s="40"/>
      <c r="K144" s="38"/>
      <c r="L144" s="39">
        <v>0.5</v>
      </c>
      <c r="M144" s="41"/>
      <c r="N144" s="37">
        <f t="shared" si="27"/>
        <v>0.5</v>
      </c>
      <c r="O144" s="40"/>
      <c r="P144" s="40"/>
      <c r="Q144" s="67">
        <v>1.0</v>
      </c>
      <c r="R144" s="42">
        <f t="shared" si="28"/>
        <v>1</v>
      </c>
      <c r="S144" s="45">
        <f t="shared" si="29"/>
        <v>299.5</v>
      </c>
      <c r="T144" s="33">
        <f t="shared" si="30"/>
        <v>8</v>
      </c>
      <c r="U144" s="1">
        <v>1.0</v>
      </c>
      <c r="V144" s="3"/>
      <c r="W144" s="3"/>
      <c r="X144" s="3"/>
      <c r="Y144" s="3"/>
      <c r="Z144" s="3"/>
    </row>
    <row r="145">
      <c r="A145" s="35" t="s">
        <v>30</v>
      </c>
      <c r="B145" s="24">
        <f t="shared" si="25"/>
        <v>300</v>
      </c>
      <c r="C145" s="36">
        <v>30.0</v>
      </c>
      <c r="D145" s="37">
        <f t="shared" si="26"/>
        <v>300</v>
      </c>
      <c r="E145" s="39"/>
      <c r="F145" s="39"/>
      <c r="G145" s="40"/>
      <c r="H145" s="40"/>
      <c r="I145" s="41">
        <v>0.5</v>
      </c>
      <c r="J145" s="40"/>
      <c r="K145" s="38"/>
      <c r="L145" s="38"/>
      <c r="M145" s="41"/>
      <c r="N145" s="37">
        <f t="shared" si="27"/>
        <v>0.5</v>
      </c>
      <c r="O145" s="40"/>
      <c r="P145" s="40"/>
      <c r="Q145" s="67">
        <v>1.0</v>
      </c>
      <c r="R145" s="42">
        <f t="shared" si="28"/>
        <v>1</v>
      </c>
      <c r="S145" s="45">
        <f t="shared" si="29"/>
        <v>300.5</v>
      </c>
      <c r="T145" s="33">
        <f t="shared" si="30"/>
        <v>5</v>
      </c>
      <c r="U145" s="1">
        <v>0.0</v>
      </c>
      <c r="V145" s="3"/>
      <c r="W145" s="3"/>
      <c r="X145" s="3"/>
      <c r="Y145" s="3"/>
      <c r="Z145" s="3"/>
    </row>
    <row r="146">
      <c r="A146" s="35" t="s">
        <v>31</v>
      </c>
      <c r="B146" s="24">
        <f t="shared" si="25"/>
        <v>298</v>
      </c>
      <c r="C146" s="36">
        <v>30.0</v>
      </c>
      <c r="D146" s="37">
        <f t="shared" si="26"/>
        <v>298</v>
      </c>
      <c r="E146" s="38"/>
      <c r="F146" s="39"/>
      <c r="G146" s="40"/>
      <c r="H146" s="40"/>
      <c r="I146" s="39"/>
      <c r="J146" s="38"/>
      <c r="K146" s="39"/>
      <c r="L146" s="38"/>
      <c r="M146" s="41"/>
      <c r="N146" s="37">
        <f t="shared" si="27"/>
        <v>0</v>
      </c>
      <c r="O146" s="40"/>
      <c r="P146" s="40"/>
      <c r="Q146" s="67">
        <v>1.0</v>
      </c>
      <c r="R146" s="42">
        <f t="shared" si="28"/>
        <v>1</v>
      </c>
      <c r="S146" s="45">
        <f t="shared" si="29"/>
        <v>299</v>
      </c>
      <c r="T146" s="33">
        <f t="shared" si="30"/>
        <v>10</v>
      </c>
      <c r="U146" s="1">
        <v>2.0</v>
      </c>
      <c r="V146" s="3"/>
      <c r="W146" s="3"/>
      <c r="X146" s="3"/>
      <c r="Y146" s="3"/>
      <c r="Z146" s="3"/>
    </row>
    <row r="147">
      <c r="A147" s="35" t="s">
        <v>32</v>
      </c>
      <c r="B147" s="24">
        <f t="shared" si="25"/>
        <v>300</v>
      </c>
      <c r="C147" s="36">
        <v>30.0</v>
      </c>
      <c r="D147" s="37">
        <f t="shared" si="26"/>
        <v>300</v>
      </c>
      <c r="E147" s="39"/>
      <c r="F147" s="39"/>
      <c r="G147" s="40"/>
      <c r="H147" s="40"/>
      <c r="I147" s="38"/>
      <c r="J147" s="40"/>
      <c r="K147" s="39"/>
      <c r="L147" s="38"/>
      <c r="M147" s="41"/>
      <c r="N147" s="37">
        <f t="shared" si="27"/>
        <v>0</v>
      </c>
      <c r="O147" s="40"/>
      <c r="P147" s="40"/>
      <c r="Q147" s="67">
        <v>1.0</v>
      </c>
      <c r="R147" s="42">
        <f t="shared" si="28"/>
        <v>1</v>
      </c>
      <c r="S147" s="47">
        <f t="shared" si="29"/>
        <v>301</v>
      </c>
      <c r="T147" s="33">
        <f t="shared" si="30"/>
        <v>1</v>
      </c>
      <c r="U147" s="1">
        <v>0.0</v>
      </c>
      <c r="V147" s="3"/>
      <c r="W147" s="3"/>
      <c r="X147" s="3"/>
      <c r="Y147" s="3"/>
      <c r="Z147" s="3"/>
    </row>
    <row r="148">
      <c r="A148" s="35" t="s">
        <v>33</v>
      </c>
      <c r="B148" s="24">
        <f t="shared" si="25"/>
        <v>300</v>
      </c>
      <c r="C148" s="36">
        <v>30.0</v>
      </c>
      <c r="D148" s="37">
        <f t="shared" si="26"/>
        <v>300</v>
      </c>
      <c r="E148" s="39"/>
      <c r="F148" s="38"/>
      <c r="G148" s="40"/>
      <c r="H148" s="40"/>
      <c r="I148" s="39"/>
      <c r="J148" s="38"/>
      <c r="K148" s="39"/>
      <c r="L148" s="38"/>
      <c r="M148" s="41">
        <v>0.5</v>
      </c>
      <c r="N148" s="37">
        <f t="shared" si="27"/>
        <v>0.5</v>
      </c>
      <c r="O148" s="40"/>
      <c r="P148" s="40"/>
      <c r="Q148" s="67">
        <v>1.0</v>
      </c>
      <c r="R148" s="42">
        <f t="shared" si="28"/>
        <v>1</v>
      </c>
      <c r="S148" s="47">
        <f t="shared" si="29"/>
        <v>300.5</v>
      </c>
      <c r="T148" s="33">
        <f t="shared" si="30"/>
        <v>5</v>
      </c>
      <c r="U148" s="1">
        <v>0.0</v>
      </c>
      <c r="V148" s="3"/>
      <c r="W148" s="3"/>
      <c r="X148" s="3"/>
      <c r="Y148" s="3"/>
      <c r="Z148" s="3"/>
    </row>
    <row r="149">
      <c r="A149" s="35" t="s">
        <v>34</v>
      </c>
      <c r="B149" s="24">
        <f t="shared" si="25"/>
        <v>299</v>
      </c>
      <c r="C149" s="36">
        <v>30.0</v>
      </c>
      <c r="D149" s="37">
        <f t="shared" si="26"/>
        <v>299</v>
      </c>
      <c r="E149" s="39"/>
      <c r="F149" s="39"/>
      <c r="G149" s="40"/>
      <c r="H149" s="40"/>
      <c r="I149" s="39"/>
      <c r="J149" s="40"/>
      <c r="K149" s="41">
        <v>0.5</v>
      </c>
      <c r="L149" s="38"/>
      <c r="M149" s="41"/>
      <c r="N149" s="37">
        <f t="shared" si="27"/>
        <v>0.5</v>
      </c>
      <c r="O149" s="40"/>
      <c r="P149" s="40"/>
      <c r="Q149" s="67"/>
      <c r="R149" s="42">
        <f t="shared" si="28"/>
        <v>0</v>
      </c>
      <c r="S149" s="43">
        <f t="shared" si="29"/>
        <v>298.5</v>
      </c>
      <c r="T149" s="33">
        <f t="shared" si="30"/>
        <v>12</v>
      </c>
      <c r="U149" s="84">
        <v>1.0</v>
      </c>
      <c r="V149" s="3"/>
      <c r="W149" s="3"/>
      <c r="X149" s="3"/>
      <c r="Y149" s="3"/>
      <c r="Z149" s="3"/>
    </row>
    <row r="150">
      <c r="A150" s="35" t="s">
        <v>35</v>
      </c>
      <c r="B150" s="24">
        <f t="shared" si="25"/>
        <v>300</v>
      </c>
      <c r="C150" s="36">
        <v>30.0</v>
      </c>
      <c r="D150" s="37">
        <f t="shared" si="26"/>
        <v>300</v>
      </c>
      <c r="E150" s="39"/>
      <c r="F150" s="39"/>
      <c r="G150" s="40"/>
      <c r="H150" s="40"/>
      <c r="I150" s="39"/>
      <c r="J150" s="40"/>
      <c r="K150" s="41">
        <v>0.5</v>
      </c>
      <c r="L150" s="41">
        <v>0.5</v>
      </c>
      <c r="M150" s="41"/>
      <c r="N150" s="37">
        <f t="shared" si="27"/>
        <v>1</v>
      </c>
      <c r="O150" s="40"/>
      <c r="P150" s="40"/>
      <c r="Q150" s="67">
        <v>1.0</v>
      </c>
      <c r="R150" s="42">
        <f t="shared" si="28"/>
        <v>1</v>
      </c>
      <c r="S150" s="45">
        <f t="shared" si="29"/>
        <v>300</v>
      </c>
      <c r="T150" s="33">
        <f t="shared" si="30"/>
        <v>7</v>
      </c>
      <c r="U150" s="1">
        <v>0.0</v>
      </c>
      <c r="V150" s="3"/>
      <c r="W150" s="3"/>
      <c r="X150" s="3"/>
      <c r="Y150" s="3"/>
      <c r="Z150" s="3"/>
    </row>
    <row r="151">
      <c r="A151" s="48" t="s">
        <v>36</v>
      </c>
      <c r="B151" s="49">
        <f t="shared" si="25"/>
        <v>300</v>
      </c>
      <c r="C151" s="50">
        <v>30.0</v>
      </c>
      <c r="D151" s="51">
        <f t="shared" si="26"/>
        <v>300</v>
      </c>
      <c r="E151" s="68"/>
      <c r="F151" s="68"/>
      <c r="G151" s="53"/>
      <c r="H151" s="53"/>
      <c r="I151" s="68"/>
      <c r="J151" s="53"/>
      <c r="K151" s="52"/>
      <c r="L151" s="52"/>
      <c r="M151" s="74"/>
      <c r="N151" s="51">
        <f t="shared" si="27"/>
        <v>0</v>
      </c>
      <c r="O151" s="53"/>
      <c r="P151" s="53"/>
      <c r="Q151" s="69">
        <v>1.0</v>
      </c>
      <c r="R151" s="56">
        <f t="shared" si="28"/>
        <v>1</v>
      </c>
      <c r="S151" s="57">
        <f t="shared" si="29"/>
        <v>301</v>
      </c>
      <c r="T151" s="58">
        <f t="shared" si="30"/>
        <v>1</v>
      </c>
      <c r="U151" s="1">
        <v>0.0</v>
      </c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59"/>
      <c r="F152" s="59"/>
      <c r="G152" s="60"/>
      <c r="H152" s="60"/>
      <c r="I152" s="59"/>
      <c r="J152" s="60"/>
      <c r="K152" s="59"/>
      <c r="L152" s="59"/>
      <c r="M152" s="61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62"/>
      <c r="B153" s="63" t="s">
        <v>37</v>
      </c>
      <c r="C153" s="3"/>
      <c r="D153" s="3"/>
      <c r="E153" s="59"/>
      <c r="F153" s="85" t="s">
        <v>105</v>
      </c>
      <c r="G153" s="60"/>
      <c r="H153" s="64"/>
      <c r="I153" s="79"/>
      <c r="J153" s="60"/>
      <c r="K153" s="59"/>
      <c r="L153" s="59"/>
      <c r="M153" s="71"/>
      <c r="N153" s="6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65" t="s">
        <v>106</v>
      </c>
      <c r="C154" s="3"/>
      <c r="D154" s="3"/>
      <c r="E154" s="59"/>
      <c r="F154" s="85" t="s">
        <v>107</v>
      </c>
      <c r="G154" s="60"/>
      <c r="H154" s="60"/>
      <c r="I154" s="75"/>
      <c r="J154" s="60"/>
      <c r="K154" s="59"/>
      <c r="L154" s="80"/>
      <c r="M154" s="61"/>
      <c r="N154" s="3"/>
      <c r="O154" s="86" t="s">
        <v>108</v>
      </c>
      <c r="P154" s="76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65" t="s">
        <v>109</v>
      </c>
      <c r="C155" s="3"/>
      <c r="D155" s="3"/>
      <c r="E155" s="59"/>
      <c r="F155" s="59"/>
      <c r="G155" s="60"/>
      <c r="H155" s="60"/>
      <c r="I155" s="75"/>
      <c r="J155" s="60"/>
      <c r="K155" s="59"/>
      <c r="L155" s="80"/>
      <c r="M155" s="61"/>
      <c r="N155" s="3"/>
      <c r="O155" s="87" t="s">
        <v>110</v>
      </c>
      <c r="P155" s="76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65" t="s">
        <v>111</v>
      </c>
      <c r="C156" s="3"/>
      <c r="D156" s="3"/>
      <c r="E156" s="59"/>
      <c r="F156" s="59"/>
      <c r="G156" s="60"/>
      <c r="H156" s="60"/>
      <c r="I156" s="59"/>
      <c r="J156" s="60"/>
      <c r="K156" s="59"/>
      <c r="L156" s="70"/>
      <c r="M156" s="61"/>
      <c r="N156" s="3"/>
      <c r="O156" s="76" t="s">
        <v>112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65"/>
      <c r="C157" s="3"/>
      <c r="D157" s="3"/>
      <c r="E157" s="59"/>
      <c r="F157" s="59"/>
      <c r="G157" s="60"/>
      <c r="H157" s="60"/>
      <c r="I157" s="59"/>
      <c r="J157" s="60"/>
      <c r="K157" s="59"/>
      <c r="L157" s="59"/>
      <c r="M157" s="71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65"/>
      <c r="C158" s="3"/>
      <c r="D158" s="3"/>
      <c r="E158" s="59"/>
      <c r="F158" s="59"/>
      <c r="G158" s="60"/>
      <c r="H158" s="60"/>
      <c r="I158" s="59"/>
      <c r="J158" s="60"/>
      <c r="K158" s="59"/>
      <c r="L158" s="59"/>
      <c r="M158" s="72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76"/>
      <c r="C159" s="3"/>
      <c r="D159" s="3"/>
      <c r="E159" s="59"/>
      <c r="F159" s="59"/>
      <c r="G159" s="60"/>
      <c r="H159" s="60"/>
      <c r="I159" s="59"/>
      <c r="J159" s="60"/>
      <c r="K159" s="59"/>
      <c r="L159" s="59"/>
      <c r="M159" s="72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" t="s">
        <v>113</v>
      </c>
      <c r="U160" s="2"/>
      <c r="V160" s="3"/>
      <c r="W160" s="3"/>
      <c r="X160" s="3"/>
      <c r="Y160" s="3"/>
      <c r="Z160" s="3"/>
    </row>
    <row r="161">
      <c r="A161" s="1" t="s">
        <v>114</v>
      </c>
      <c r="U161" s="2"/>
      <c r="V161" s="3"/>
      <c r="W161" s="3"/>
      <c r="X161" s="3"/>
      <c r="Y161" s="3"/>
      <c r="Z161" s="3"/>
    </row>
    <row r="162">
      <c r="A162" s="2"/>
      <c r="B162" s="4"/>
      <c r="C162" s="2"/>
      <c r="D162" s="2"/>
      <c r="E162" s="5"/>
      <c r="F162" s="5"/>
      <c r="G162" s="6"/>
      <c r="H162" s="6"/>
      <c r="I162" s="5"/>
      <c r="J162" s="6"/>
      <c r="K162" s="5"/>
      <c r="L162" s="5"/>
      <c r="M162" s="7"/>
      <c r="N162" s="2"/>
      <c r="O162" s="2"/>
      <c r="P162" s="2"/>
      <c r="Q162" s="2"/>
      <c r="R162" s="2"/>
      <c r="S162" s="2"/>
      <c r="T162" s="2"/>
      <c r="U162" s="2"/>
      <c r="V162" s="3"/>
      <c r="W162" s="3"/>
      <c r="X162" s="3"/>
      <c r="Y162" s="3"/>
      <c r="Z162" s="3"/>
    </row>
    <row r="163">
      <c r="A163" s="8" t="s">
        <v>2</v>
      </c>
      <c r="B163" s="9" t="s">
        <v>3</v>
      </c>
      <c r="C163" s="10"/>
      <c r="D163" s="11"/>
      <c r="E163" s="12" t="s">
        <v>4</v>
      </c>
      <c r="F163" s="10"/>
      <c r="G163" s="10"/>
      <c r="H163" s="10"/>
      <c r="I163" s="10"/>
      <c r="J163" s="10"/>
      <c r="K163" s="10"/>
      <c r="L163" s="10"/>
      <c r="M163" s="10"/>
      <c r="N163" s="11"/>
      <c r="O163" s="13" t="s">
        <v>5</v>
      </c>
      <c r="P163" s="10"/>
      <c r="Q163" s="10"/>
      <c r="R163" s="11"/>
      <c r="S163" s="14" t="s">
        <v>6</v>
      </c>
      <c r="T163" s="14" t="s">
        <v>7</v>
      </c>
      <c r="U163" s="6"/>
      <c r="V163" s="3"/>
      <c r="W163" s="3"/>
      <c r="X163" s="3"/>
      <c r="Y163" s="3"/>
      <c r="Z163" s="3"/>
    </row>
    <row r="164">
      <c r="A164" s="15"/>
      <c r="B164" s="16" t="s">
        <v>8</v>
      </c>
      <c r="C164" s="17" t="s">
        <v>9</v>
      </c>
      <c r="D164" s="14" t="s">
        <v>10</v>
      </c>
      <c r="E164" s="17" t="s">
        <v>11</v>
      </c>
      <c r="F164" s="17" t="s">
        <v>12</v>
      </c>
      <c r="G164" s="17" t="s">
        <v>13</v>
      </c>
      <c r="H164" s="17" t="s">
        <v>14</v>
      </c>
      <c r="I164" s="17" t="s">
        <v>15</v>
      </c>
      <c r="J164" s="17" t="s">
        <v>16</v>
      </c>
      <c r="K164" s="17" t="s">
        <v>17</v>
      </c>
      <c r="L164" s="17" t="s">
        <v>18</v>
      </c>
      <c r="M164" s="18" t="s">
        <v>19</v>
      </c>
      <c r="N164" s="14" t="s">
        <v>20</v>
      </c>
      <c r="O164" s="17" t="s">
        <v>21</v>
      </c>
      <c r="P164" s="17" t="s">
        <v>22</v>
      </c>
      <c r="Q164" s="17" t="s">
        <v>23</v>
      </c>
      <c r="R164" s="14" t="s">
        <v>24</v>
      </c>
      <c r="S164" s="19"/>
      <c r="T164" s="19"/>
      <c r="U164" s="6"/>
      <c r="V164" s="3"/>
      <c r="W164" s="3"/>
      <c r="X164" s="3"/>
      <c r="Y164" s="3"/>
      <c r="Z164" s="3"/>
    </row>
    <row r="165">
      <c r="A165" s="20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6"/>
      <c r="V165" s="3"/>
      <c r="W165" s="3"/>
      <c r="X165" s="3"/>
      <c r="Y165" s="3"/>
      <c r="Z165" s="3"/>
    </row>
    <row r="166">
      <c r="A166" s="21">
        <v>10.0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6"/>
      <c r="V166" s="3"/>
      <c r="W166" s="3"/>
      <c r="X166" s="3"/>
      <c r="Y166" s="3"/>
      <c r="Z166" s="3"/>
    </row>
    <row r="167">
      <c r="A167" s="23" t="s">
        <v>25</v>
      </c>
      <c r="B167" s="24">
        <f t="shared" ref="B167:B178" si="31">300-U167</f>
        <v>298</v>
      </c>
      <c r="C167" s="25">
        <v>30.0</v>
      </c>
      <c r="D167" s="26">
        <f t="shared" ref="D167:D178" si="32">B167</f>
        <v>298</v>
      </c>
      <c r="E167" s="28"/>
      <c r="F167" s="28"/>
      <c r="G167" s="29"/>
      <c r="H167" s="29"/>
      <c r="I167" s="28"/>
      <c r="J167" s="29"/>
      <c r="K167" s="73">
        <v>1.0</v>
      </c>
      <c r="L167" s="27"/>
      <c r="M167" s="73"/>
      <c r="N167" s="26">
        <f t="shared" ref="N167:N178" si="33">SUM(E167:M167)</f>
        <v>1</v>
      </c>
      <c r="O167" s="29"/>
      <c r="P167" s="29"/>
      <c r="Q167" s="83"/>
      <c r="R167" s="31">
        <f t="shared" ref="R167:R178" si="34">SUM(O167:Q167)</f>
        <v>0</v>
      </c>
      <c r="S167" s="32">
        <f t="shared" ref="S167:S178" si="35">D167-N167+R167</f>
        <v>297</v>
      </c>
      <c r="T167" s="33">
        <f t="shared" ref="T167:T178" si="36">RANK(S167,$S$167:$S$178,0)</f>
        <v>11</v>
      </c>
      <c r="U167" s="84">
        <v>2.0</v>
      </c>
      <c r="V167" s="3"/>
      <c r="W167" s="3"/>
      <c r="X167" s="3"/>
      <c r="Y167" s="3"/>
      <c r="Z167" s="3"/>
    </row>
    <row r="168">
      <c r="A168" s="35" t="s">
        <v>26</v>
      </c>
      <c r="B168" s="24">
        <f t="shared" si="31"/>
        <v>300</v>
      </c>
      <c r="C168" s="36">
        <v>30.0</v>
      </c>
      <c r="D168" s="37">
        <f t="shared" si="32"/>
        <v>300</v>
      </c>
      <c r="E168" s="38"/>
      <c r="F168" s="39"/>
      <c r="G168" s="40"/>
      <c r="H168" s="40"/>
      <c r="I168" s="39"/>
      <c r="J168" s="40"/>
      <c r="K168" s="41">
        <v>1.0</v>
      </c>
      <c r="L168" s="38"/>
      <c r="M168" s="41">
        <v>0.5</v>
      </c>
      <c r="N168" s="37">
        <f t="shared" si="33"/>
        <v>1.5</v>
      </c>
      <c r="O168" s="40"/>
      <c r="P168" s="40"/>
      <c r="Q168" s="67"/>
      <c r="R168" s="42">
        <f t="shared" si="34"/>
        <v>0</v>
      </c>
      <c r="S168" s="43">
        <f t="shared" si="35"/>
        <v>298.5</v>
      </c>
      <c r="T168" s="33">
        <f t="shared" si="36"/>
        <v>7</v>
      </c>
      <c r="U168" s="34"/>
      <c r="V168" s="3"/>
      <c r="W168" s="3"/>
      <c r="X168" s="3"/>
      <c r="Y168" s="3"/>
      <c r="Z168" s="3"/>
    </row>
    <row r="169">
      <c r="A169" s="35" t="s">
        <v>27</v>
      </c>
      <c r="B169" s="24">
        <f t="shared" si="31"/>
        <v>299</v>
      </c>
      <c r="C169" s="36">
        <v>30.0</v>
      </c>
      <c r="D169" s="37">
        <f t="shared" si="32"/>
        <v>299</v>
      </c>
      <c r="E169" s="41">
        <v>1.5</v>
      </c>
      <c r="F169" s="38"/>
      <c r="G169" s="40"/>
      <c r="H169" s="40"/>
      <c r="I169" s="41"/>
      <c r="J169" s="40"/>
      <c r="K169" s="39"/>
      <c r="L169" s="38"/>
      <c r="M169" s="41">
        <v>0.5</v>
      </c>
      <c r="N169" s="37">
        <f t="shared" si="33"/>
        <v>2</v>
      </c>
      <c r="O169" s="40"/>
      <c r="P169" s="40"/>
      <c r="Q169" s="67"/>
      <c r="R169" s="42">
        <f t="shared" si="34"/>
        <v>0</v>
      </c>
      <c r="S169" s="45">
        <f t="shared" si="35"/>
        <v>297</v>
      </c>
      <c r="T169" s="33">
        <f t="shared" si="36"/>
        <v>11</v>
      </c>
      <c r="U169" s="84">
        <v>1.0</v>
      </c>
      <c r="V169" s="3"/>
      <c r="W169" s="3"/>
      <c r="X169" s="3"/>
      <c r="Y169" s="3"/>
      <c r="Z169" s="3"/>
    </row>
    <row r="170">
      <c r="A170" s="35" t="s">
        <v>28</v>
      </c>
      <c r="B170" s="24">
        <f t="shared" si="31"/>
        <v>300</v>
      </c>
      <c r="C170" s="36">
        <v>30.0</v>
      </c>
      <c r="D170" s="37">
        <f t="shared" si="32"/>
        <v>300</v>
      </c>
      <c r="E170" s="41">
        <v>1.5</v>
      </c>
      <c r="F170" s="39"/>
      <c r="G170" s="40"/>
      <c r="H170" s="40"/>
      <c r="I170" s="39"/>
      <c r="J170" s="40"/>
      <c r="K170" s="38"/>
      <c r="L170" s="39"/>
      <c r="M170" s="41"/>
      <c r="N170" s="37">
        <f t="shared" si="33"/>
        <v>1.5</v>
      </c>
      <c r="O170" s="40"/>
      <c r="P170" s="40"/>
      <c r="Q170" s="67"/>
      <c r="R170" s="42">
        <f t="shared" si="34"/>
        <v>0</v>
      </c>
      <c r="S170" s="45">
        <f t="shared" si="35"/>
        <v>298.5</v>
      </c>
      <c r="T170" s="33">
        <f t="shared" si="36"/>
        <v>7</v>
      </c>
      <c r="U170" s="1"/>
      <c r="V170" s="3"/>
      <c r="W170" s="3"/>
      <c r="X170" s="3"/>
      <c r="Y170" s="3"/>
      <c r="Z170" s="3"/>
    </row>
    <row r="171">
      <c r="A171" s="35" t="s">
        <v>29</v>
      </c>
      <c r="B171" s="24">
        <f t="shared" si="31"/>
        <v>300</v>
      </c>
      <c r="C171" s="36">
        <v>30.0</v>
      </c>
      <c r="D171" s="37">
        <f t="shared" si="32"/>
        <v>300</v>
      </c>
      <c r="E171" s="39"/>
      <c r="F171" s="39"/>
      <c r="G171" s="40"/>
      <c r="H171" s="40"/>
      <c r="I171" s="39"/>
      <c r="J171" s="40"/>
      <c r="K171" s="41">
        <v>0.5</v>
      </c>
      <c r="L171" s="39"/>
      <c r="M171" s="41"/>
      <c r="N171" s="37">
        <f t="shared" si="33"/>
        <v>0.5</v>
      </c>
      <c r="O171" s="40"/>
      <c r="P171" s="40"/>
      <c r="Q171" s="67"/>
      <c r="R171" s="42">
        <f t="shared" si="34"/>
        <v>0</v>
      </c>
      <c r="S171" s="45">
        <f t="shared" si="35"/>
        <v>299.5</v>
      </c>
      <c r="T171" s="33">
        <f t="shared" si="36"/>
        <v>2</v>
      </c>
      <c r="U171" s="1"/>
      <c r="V171" s="3"/>
      <c r="W171" s="3"/>
      <c r="X171" s="3"/>
      <c r="Y171" s="3"/>
      <c r="Z171" s="3"/>
    </row>
    <row r="172">
      <c r="A172" s="35" t="s">
        <v>30</v>
      </c>
      <c r="B172" s="24">
        <f t="shared" si="31"/>
        <v>300</v>
      </c>
      <c r="C172" s="36">
        <v>30.0</v>
      </c>
      <c r="D172" s="37">
        <f t="shared" si="32"/>
        <v>300</v>
      </c>
      <c r="E172" s="41">
        <v>1.5</v>
      </c>
      <c r="F172" s="41">
        <v>0.5</v>
      </c>
      <c r="G172" s="40"/>
      <c r="H172" s="40"/>
      <c r="I172" s="41"/>
      <c r="J172" s="40"/>
      <c r="K172" s="38"/>
      <c r="L172" s="38"/>
      <c r="M172" s="41"/>
      <c r="N172" s="37">
        <f t="shared" si="33"/>
        <v>2</v>
      </c>
      <c r="O172" s="40"/>
      <c r="P172" s="40"/>
      <c r="Q172" s="67"/>
      <c r="R172" s="42">
        <f t="shared" si="34"/>
        <v>0</v>
      </c>
      <c r="S172" s="45">
        <f t="shared" si="35"/>
        <v>298</v>
      </c>
      <c r="T172" s="33">
        <f t="shared" si="36"/>
        <v>9</v>
      </c>
      <c r="U172" s="1"/>
      <c r="V172" s="3"/>
      <c r="W172" s="3"/>
      <c r="X172" s="3"/>
      <c r="Y172" s="3"/>
      <c r="Z172" s="3"/>
    </row>
    <row r="173">
      <c r="A173" s="35" t="s">
        <v>31</v>
      </c>
      <c r="B173" s="24">
        <f t="shared" si="31"/>
        <v>299</v>
      </c>
      <c r="C173" s="36">
        <v>30.0</v>
      </c>
      <c r="D173" s="37">
        <f t="shared" si="32"/>
        <v>299</v>
      </c>
      <c r="E173" s="38"/>
      <c r="F173" s="39"/>
      <c r="G173" s="40"/>
      <c r="H173" s="40"/>
      <c r="I173" s="39"/>
      <c r="J173" s="38"/>
      <c r="K173" s="39"/>
      <c r="L173" s="38"/>
      <c r="M173" s="41"/>
      <c r="N173" s="37">
        <f t="shared" si="33"/>
        <v>0</v>
      </c>
      <c r="O173" s="40"/>
      <c r="P173" s="40"/>
      <c r="Q173" s="67">
        <v>0.5</v>
      </c>
      <c r="R173" s="42">
        <f t="shared" si="34"/>
        <v>0.5</v>
      </c>
      <c r="S173" s="45">
        <f t="shared" si="35"/>
        <v>299.5</v>
      </c>
      <c r="T173" s="33">
        <f t="shared" si="36"/>
        <v>2</v>
      </c>
      <c r="U173" s="84">
        <v>1.0</v>
      </c>
      <c r="V173" s="3"/>
      <c r="W173" s="3"/>
      <c r="X173" s="3"/>
      <c r="Y173" s="3"/>
      <c r="Z173" s="3"/>
    </row>
    <row r="174">
      <c r="A174" s="35" t="s">
        <v>32</v>
      </c>
      <c r="B174" s="24">
        <f t="shared" si="31"/>
        <v>300</v>
      </c>
      <c r="C174" s="36">
        <v>30.0</v>
      </c>
      <c r="D174" s="37">
        <f t="shared" si="32"/>
        <v>300</v>
      </c>
      <c r="E174" s="39"/>
      <c r="F174" s="39"/>
      <c r="G174" s="40"/>
      <c r="H174" s="40"/>
      <c r="I174" s="38"/>
      <c r="J174" s="40"/>
      <c r="K174" s="39"/>
      <c r="L174" s="38"/>
      <c r="M174" s="41"/>
      <c r="N174" s="37">
        <f t="shared" si="33"/>
        <v>0</v>
      </c>
      <c r="O174" s="40"/>
      <c r="P174" s="40"/>
      <c r="Q174" s="67"/>
      <c r="R174" s="42">
        <f t="shared" si="34"/>
        <v>0</v>
      </c>
      <c r="S174" s="47">
        <f t="shared" si="35"/>
        <v>300</v>
      </c>
      <c r="T174" s="33">
        <f t="shared" si="36"/>
        <v>1</v>
      </c>
      <c r="U174" s="1"/>
      <c r="V174" s="3"/>
      <c r="W174" s="3"/>
      <c r="X174" s="3"/>
      <c r="Y174" s="3"/>
      <c r="Z174" s="3"/>
    </row>
    <row r="175">
      <c r="A175" s="35" t="s">
        <v>33</v>
      </c>
      <c r="B175" s="24">
        <f t="shared" si="31"/>
        <v>299</v>
      </c>
      <c r="C175" s="36">
        <v>30.0</v>
      </c>
      <c r="D175" s="37">
        <f t="shared" si="32"/>
        <v>299</v>
      </c>
      <c r="E175" s="39"/>
      <c r="F175" s="88">
        <v>1.0</v>
      </c>
      <c r="G175" s="40"/>
      <c r="H175" s="40"/>
      <c r="I175" s="39"/>
      <c r="J175" s="38"/>
      <c r="K175" s="39"/>
      <c r="L175" s="38"/>
      <c r="M175" s="41"/>
      <c r="N175" s="37">
        <f t="shared" si="33"/>
        <v>1</v>
      </c>
      <c r="O175" s="40"/>
      <c r="P175" s="40"/>
      <c r="Q175" s="67"/>
      <c r="R175" s="42">
        <f t="shared" si="34"/>
        <v>0</v>
      </c>
      <c r="S175" s="47">
        <f t="shared" si="35"/>
        <v>298</v>
      </c>
      <c r="T175" s="33">
        <f t="shared" si="36"/>
        <v>9</v>
      </c>
      <c r="U175" s="84">
        <v>1.0</v>
      </c>
      <c r="V175" s="3"/>
      <c r="W175" s="3"/>
      <c r="X175" s="3"/>
      <c r="Y175" s="3"/>
      <c r="Z175" s="3"/>
    </row>
    <row r="176">
      <c r="A176" s="35" t="s">
        <v>34</v>
      </c>
      <c r="B176" s="24">
        <f t="shared" si="31"/>
        <v>300</v>
      </c>
      <c r="C176" s="36">
        <v>30.0</v>
      </c>
      <c r="D176" s="37">
        <f t="shared" si="32"/>
        <v>300</v>
      </c>
      <c r="E176" s="39"/>
      <c r="F176" s="41">
        <v>0.5</v>
      </c>
      <c r="G176" s="40"/>
      <c r="H176" s="40"/>
      <c r="I176" s="39"/>
      <c r="J176" s="40"/>
      <c r="K176" s="41"/>
      <c r="L176" s="38"/>
      <c r="M176" s="41">
        <v>0.5</v>
      </c>
      <c r="N176" s="37">
        <f t="shared" si="33"/>
        <v>1</v>
      </c>
      <c r="O176" s="40"/>
      <c r="P176" s="40"/>
      <c r="Q176" s="67"/>
      <c r="R176" s="42">
        <f t="shared" si="34"/>
        <v>0</v>
      </c>
      <c r="S176" s="43">
        <f t="shared" si="35"/>
        <v>299</v>
      </c>
      <c r="T176" s="33">
        <f t="shared" si="36"/>
        <v>6</v>
      </c>
      <c r="U176" s="84"/>
      <c r="V176" s="3"/>
      <c r="W176" s="3"/>
      <c r="X176" s="3"/>
      <c r="Y176" s="3"/>
      <c r="Z176" s="3"/>
    </row>
    <row r="177">
      <c r="A177" s="35" t="s">
        <v>35</v>
      </c>
      <c r="B177" s="24">
        <f t="shared" si="31"/>
        <v>300</v>
      </c>
      <c r="C177" s="36">
        <v>30.0</v>
      </c>
      <c r="D177" s="37">
        <f t="shared" si="32"/>
        <v>300</v>
      </c>
      <c r="E177" s="39"/>
      <c r="F177" s="41">
        <v>0.5</v>
      </c>
      <c r="G177" s="40"/>
      <c r="H177" s="40"/>
      <c r="I177" s="39"/>
      <c r="J177" s="40"/>
      <c r="K177" s="41"/>
      <c r="L177" s="41"/>
      <c r="M177" s="41"/>
      <c r="N177" s="37">
        <f t="shared" si="33"/>
        <v>0.5</v>
      </c>
      <c r="O177" s="40"/>
      <c r="P177" s="40"/>
      <c r="Q177" s="67"/>
      <c r="R177" s="42">
        <f t="shared" si="34"/>
        <v>0</v>
      </c>
      <c r="S177" s="45">
        <f t="shared" si="35"/>
        <v>299.5</v>
      </c>
      <c r="T177" s="33">
        <f t="shared" si="36"/>
        <v>2</v>
      </c>
      <c r="U177" s="1"/>
      <c r="V177" s="3"/>
      <c r="W177" s="3"/>
      <c r="X177" s="3"/>
      <c r="Y177" s="3"/>
      <c r="Z177" s="3"/>
    </row>
    <row r="178">
      <c r="A178" s="48" t="s">
        <v>36</v>
      </c>
      <c r="B178" s="49">
        <f t="shared" si="31"/>
        <v>299</v>
      </c>
      <c r="C178" s="50">
        <v>30.0</v>
      </c>
      <c r="D178" s="51">
        <f t="shared" si="32"/>
        <v>299</v>
      </c>
      <c r="E178" s="68"/>
      <c r="F178" s="68"/>
      <c r="G178" s="53"/>
      <c r="H178" s="53"/>
      <c r="I178" s="68"/>
      <c r="J178" s="53"/>
      <c r="K178" s="52"/>
      <c r="L178" s="52"/>
      <c r="M178" s="74"/>
      <c r="N178" s="51">
        <f t="shared" si="33"/>
        <v>0</v>
      </c>
      <c r="O178" s="53"/>
      <c r="P178" s="53"/>
      <c r="Q178" s="69">
        <v>0.5</v>
      </c>
      <c r="R178" s="56">
        <f t="shared" si="34"/>
        <v>0.5</v>
      </c>
      <c r="S178" s="57">
        <f t="shared" si="35"/>
        <v>299.5</v>
      </c>
      <c r="T178" s="58">
        <f t="shared" si="36"/>
        <v>2</v>
      </c>
      <c r="U178" s="84">
        <v>1.0</v>
      </c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59"/>
      <c r="F179" s="59"/>
      <c r="G179" s="60"/>
      <c r="H179" s="60"/>
      <c r="I179" s="59"/>
      <c r="J179" s="60"/>
      <c r="K179" s="59"/>
      <c r="L179" s="59"/>
      <c r="M179" s="61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62"/>
      <c r="B180" s="63" t="s">
        <v>37</v>
      </c>
      <c r="C180" s="3"/>
      <c r="D180" s="3"/>
      <c r="E180" s="59"/>
      <c r="F180" s="85"/>
      <c r="G180" s="60"/>
      <c r="H180" s="64"/>
      <c r="I180" s="79"/>
      <c r="J180" s="60"/>
      <c r="K180" s="59"/>
      <c r="L180" s="59"/>
      <c r="M180" s="71"/>
      <c r="N180" s="6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62"/>
      <c r="B181" s="65" t="s">
        <v>115</v>
      </c>
      <c r="C181" s="3"/>
      <c r="D181" s="3"/>
      <c r="E181" s="59"/>
      <c r="F181" s="85"/>
      <c r="G181" s="60"/>
      <c r="H181" s="64"/>
      <c r="I181" s="79"/>
      <c r="J181" s="60"/>
      <c r="K181" s="59"/>
      <c r="L181" s="59"/>
      <c r="M181" s="71"/>
      <c r="N181" s="89" t="s">
        <v>116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62"/>
      <c r="B182" s="65" t="s">
        <v>117</v>
      </c>
      <c r="C182" s="3"/>
      <c r="D182" s="3"/>
      <c r="E182" s="59"/>
      <c r="F182" s="85"/>
      <c r="G182" s="60"/>
      <c r="H182" s="64"/>
      <c r="I182" s="79"/>
      <c r="J182" s="60"/>
      <c r="K182" s="59"/>
      <c r="L182" s="59"/>
      <c r="M182" s="71"/>
      <c r="N182" s="90" t="s">
        <v>41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65" t="s">
        <v>118</v>
      </c>
      <c r="C183" s="3"/>
      <c r="D183" s="3"/>
      <c r="E183" s="59"/>
      <c r="F183" s="85"/>
      <c r="G183" s="60"/>
      <c r="H183" s="60"/>
      <c r="I183" s="75"/>
      <c r="J183" s="60"/>
      <c r="K183" s="59"/>
      <c r="L183" s="80"/>
      <c r="M183" s="61"/>
      <c r="N183" s="3"/>
      <c r="O183" s="86"/>
      <c r="P183" s="76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65" t="s">
        <v>119</v>
      </c>
      <c r="C184" s="3"/>
      <c r="D184" s="3"/>
      <c r="E184" s="59"/>
      <c r="F184" s="85"/>
      <c r="G184" s="60"/>
      <c r="H184" s="60"/>
      <c r="I184" s="75"/>
      <c r="J184" s="60"/>
      <c r="K184" s="59"/>
      <c r="L184" s="80"/>
      <c r="M184" s="61"/>
      <c r="N184" s="3"/>
      <c r="O184" s="86"/>
      <c r="P184" s="76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65" t="s">
        <v>120</v>
      </c>
      <c r="C185" s="3"/>
      <c r="D185" s="3"/>
      <c r="E185" s="59"/>
      <c r="F185" s="85"/>
      <c r="G185" s="60"/>
      <c r="H185" s="60"/>
      <c r="I185" s="75"/>
      <c r="J185" s="60"/>
      <c r="K185" s="59"/>
      <c r="L185" s="80"/>
      <c r="M185" s="61"/>
      <c r="N185" s="3"/>
      <c r="O185" s="86"/>
      <c r="P185" s="76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65" t="s">
        <v>121</v>
      </c>
      <c r="C186" s="3"/>
      <c r="D186" s="3"/>
      <c r="E186" s="59"/>
      <c r="F186" s="59"/>
      <c r="G186" s="60"/>
      <c r="H186" s="60"/>
      <c r="I186" s="75"/>
      <c r="J186" s="60"/>
      <c r="K186" s="59"/>
      <c r="L186" s="80"/>
      <c r="M186" s="61"/>
      <c r="N186" s="3"/>
      <c r="O186" s="87"/>
      <c r="P186" s="76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76" t="s">
        <v>122</v>
      </c>
      <c r="C187" s="3"/>
      <c r="D187" s="3"/>
      <c r="E187" s="59"/>
      <c r="F187" s="59"/>
      <c r="G187" s="60"/>
      <c r="H187" s="60"/>
      <c r="I187" s="59"/>
      <c r="J187" s="60"/>
      <c r="K187" s="59"/>
      <c r="L187" s="70"/>
      <c r="M187" s="61"/>
      <c r="N187" s="3"/>
      <c r="O187" s="76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65" t="s">
        <v>123</v>
      </c>
      <c r="C188" s="3"/>
      <c r="D188" s="3"/>
      <c r="E188" s="59"/>
      <c r="F188" s="59"/>
      <c r="G188" s="60"/>
      <c r="H188" s="60"/>
      <c r="I188" s="59"/>
      <c r="J188" s="60"/>
      <c r="K188" s="59"/>
      <c r="L188" s="59"/>
      <c r="M188" s="71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65" t="s">
        <v>124</v>
      </c>
      <c r="C189" s="3"/>
      <c r="D189" s="3"/>
      <c r="E189" s="59"/>
      <c r="F189" s="59"/>
      <c r="G189" s="60"/>
      <c r="H189" s="60"/>
      <c r="I189" s="59"/>
      <c r="J189" s="60"/>
      <c r="K189" s="59"/>
      <c r="L189" s="59"/>
      <c r="M189" s="72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76"/>
      <c r="C190" s="3"/>
      <c r="D190" s="3"/>
      <c r="E190" s="59"/>
      <c r="F190" s="59"/>
      <c r="G190" s="60"/>
      <c r="H190" s="60"/>
      <c r="I190" s="59"/>
      <c r="J190" s="60"/>
      <c r="K190" s="59"/>
      <c r="L190" s="59"/>
      <c r="M190" s="72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59"/>
      <c r="F191" s="59"/>
      <c r="G191" s="60"/>
      <c r="H191" s="60"/>
      <c r="I191" s="59"/>
      <c r="J191" s="60"/>
      <c r="K191" s="59"/>
      <c r="L191" s="59"/>
      <c r="M191" s="72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59"/>
      <c r="F192" s="59"/>
      <c r="G192" s="60"/>
      <c r="H192" s="60"/>
      <c r="I192" s="59"/>
      <c r="J192" s="60"/>
      <c r="K192" s="59"/>
      <c r="L192" s="59"/>
      <c r="M192" s="61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" t="s">
        <v>125</v>
      </c>
      <c r="U193" s="2"/>
      <c r="V193" s="3"/>
      <c r="W193" s="3"/>
      <c r="X193" s="3"/>
      <c r="Y193" s="3"/>
      <c r="Z193" s="3"/>
    </row>
    <row r="194">
      <c r="A194" s="1" t="s">
        <v>126</v>
      </c>
      <c r="U194" s="2"/>
      <c r="V194" s="3"/>
      <c r="W194" s="3"/>
      <c r="X194" s="3"/>
      <c r="Y194" s="3"/>
      <c r="Z194" s="3"/>
    </row>
    <row r="195">
      <c r="A195" s="2"/>
      <c r="B195" s="4"/>
      <c r="C195" s="2"/>
      <c r="D195" s="2"/>
      <c r="E195" s="5"/>
      <c r="F195" s="5"/>
      <c r="G195" s="6"/>
      <c r="H195" s="6"/>
      <c r="I195" s="5"/>
      <c r="J195" s="6"/>
      <c r="K195" s="5"/>
      <c r="L195" s="5"/>
      <c r="M195" s="7"/>
      <c r="N195" s="2"/>
      <c r="O195" s="2"/>
      <c r="P195" s="2"/>
      <c r="Q195" s="2"/>
      <c r="R195" s="2"/>
      <c r="S195" s="2"/>
      <c r="T195" s="2"/>
      <c r="U195" s="2"/>
      <c r="V195" s="3"/>
      <c r="W195" s="3"/>
      <c r="X195" s="3"/>
      <c r="Y195" s="3"/>
      <c r="Z195" s="3"/>
    </row>
    <row r="196">
      <c r="A196" s="8" t="s">
        <v>2</v>
      </c>
      <c r="B196" s="9" t="s">
        <v>3</v>
      </c>
      <c r="C196" s="10"/>
      <c r="D196" s="11"/>
      <c r="E196" s="12" t="s">
        <v>4</v>
      </c>
      <c r="F196" s="10"/>
      <c r="G196" s="10"/>
      <c r="H196" s="10"/>
      <c r="I196" s="10"/>
      <c r="J196" s="10"/>
      <c r="K196" s="10"/>
      <c r="L196" s="10"/>
      <c r="M196" s="10"/>
      <c r="N196" s="11"/>
      <c r="O196" s="13" t="s">
        <v>5</v>
      </c>
      <c r="P196" s="10"/>
      <c r="Q196" s="10"/>
      <c r="R196" s="11"/>
      <c r="S196" s="14" t="s">
        <v>6</v>
      </c>
      <c r="T196" s="14" t="s">
        <v>7</v>
      </c>
      <c r="U196" s="6"/>
      <c r="V196" s="3"/>
      <c r="W196" s="3"/>
      <c r="X196" s="3"/>
      <c r="Y196" s="3"/>
      <c r="Z196" s="3"/>
    </row>
    <row r="197">
      <c r="A197" s="15"/>
      <c r="B197" s="16" t="s">
        <v>8</v>
      </c>
      <c r="C197" s="17" t="s">
        <v>9</v>
      </c>
      <c r="D197" s="14" t="s">
        <v>10</v>
      </c>
      <c r="E197" s="17" t="s">
        <v>11</v>
      </c>
      <c r="F197" s="17" t="s">
        <v>12</v>
      </c>
      <c r="G197" s="17" t="s">
        <v>13</v>
      </c>
      <c r="H197" s="17" t="s">
        <v>14</v>
      </c>
      <c r="I197" s="17" t="s">
        <v>15</v>
      </c>
      <c r="J197" s="17" t="s">
        <v>16</v>
      </c>
      <c r="K197" s="17" t="s">
        <v>17</v>
      </c>
      <c r="L197" s="17" t="s">
        <v>18</v>
      </c>
      <c r="M197" s="18" t="s">
        <v>19</v>
      </c>
      <c r="N197" s="14" t="s">
        <v>20</v>
      </c>
      <c r="O197" s="17" t="s">
        <v>21</v>
      </c>
      <c r="P197" s="17" t="s">
        <v>22</v>
      </c>
      <c r="Q197" s="17" t="s">
        <v>23</v>
      </c>
      <c r="R197" s="14" t="s">
        <v>24</v>
      </c>
      <c r="S197" s="19"/>
      <c r="T197" s="19"/>
      <c r="U197" s="6"/>
      <c r="V197" s="3"/>
      <c r="W197" s="3"/>
      <c r="X197" s="3"/>
      <c r="Y197" s="3"/>
      <c r="Z197" s="3"/>
    </row>
    <row r="198">
      <c r="A198" s="20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6"/>
      <c r="V198" s="3"/>
      <c r="W198" s="3"/>
      <c r="X198" s="3"/>
      <c r="Y198" s="3"/>
      <c r="Z198" s="3"/>
    </row>
    <row r="199">
      <c r="A199" s="21">
        <v>10.0</v>
      </c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6"/>
      <c r="V199" s="3"/>
      <c r="W199" s="3"/>
      <c r="X199" s="3"/>
      <c r="Y199" s="3"/>
      <c r="Z199" s="3"/>
    </row>
    <row r="200">
      <c r="A200" s="23" t="s">
        <v>25</v>
      </c>
      <c r="B200" s="24">
        <f t="shared" ref="B200:B211" si="37">300-U200</f>
        <v>300</v>
      </c>
      <c r="C200" s="25">
        <v>30.0</v>
      </c>
      <c r="D200" s="26">
        <f t="shared" ref="D200:D211" si="38">B200</f>
        <v>300</v>
      </c>
      <c r="E200" s="28"/>
      <c r="F200" s="28"/>
      <c r="G200" s="29"/>
      <c r="H200" s="29"/>
      <c r="I200" s="28"/>
      <c r="J200" s="29"/>
      <c r="K200" s="73"/>
      <c r="L200" s="27"/>
      <c r="M200" s="73"/>
      <c r="N200" s="26">
        <f t="shared" ref="N200:N211" si="39">SUM(E200:M200)</f>
        <v>0</v>
      </c>
      <c r="O200" s="29"/>
      <c r="P200" s="29"/>
      <c r="Q200" s="83"/>
      <c r="R200" s="31">
        <f t="shared" ref="R200:R211" si="40">SUM(O200:Q200)</f>
        <v>0</v>
      </c>
      <c r="S200" s="32">
        <f t="shared" ref="S200:S211" si="41">D200-N200+R200</f>
        <v>300</v>
      </c>
      <c r="T200" s="33">
        <f t="shared" ref="T200:T211" si="42">RANK(S200,$S$200:$S$211,0)</f>
        <v>1</v>
      </c>
      <c r="U200" s="84"/>
      <c r="V200" s="3"/>
      <c r="W200" s="3"/>
      <c r="X200" s="3"/>
      <c r="Y200" s="3"/>
      <c r="Z200" s="3"/>
    </row>
    <row r="201">
      <c r="A201" s="35" t="s">
        <v>26</v>
      </c>
      <c r="B201" s="24">
        <f t="shared" si="37"/>
        <v>300</v>
      </c>
      <c r="C201" s="36">
        <v>30.0</v>
      </c>
      <c r="D201" s="37">
        <f t="shared" si="38"/>
        <v>300</v>
      </c>
      <c r="E201" s="38"/>
      <c r="F201" s="39"/>
      <c r="G201" s="46">
        <v>1.0</v>
      </c>
      <c r="H201" s="40"/>
      <c r="I201" s="39"/>
      <c r="J201" s="40"/>
      <c r="K201" s="41"/>
      <c r="L201" s="38"/>
      <c r="M201" s="41"/>
      <c r="N201" s="37">
        <f t="shared" si="39"/>
        <v>1</v>
      </c>
      <c r="O201" s="40"/>
      <c r="P201" s="40"/>
      <c r="Q201" s="67"/>
      <c r="R201" s="42">
        <f t="shared" si="40"/>
        <v>0</v>
      </c>
      <c r="S201" s="43">
        <f t="shared" si="41"/>
        <v>299</v>
      </c>
      <c r="T201" s="33">
        <f t="shared" si="42"/>
        <v>9</v>
      </c>
      <c r="U201" s="34"/>
      <c r="V201" s="3"/>
      <c r="W201" s="3"/>
      <c r="X201" s="3"/>
      <c r="Y201" s="3"/>
      <c r="Z201" s="3"/>
    </row>
    <row r="202">
      <c r="A202" s="35" t="s">
        <v>27</v>
      </c>
      <c r="B202" s="24">
        <f t="shared" si="37"/>
        <v>300</v>
      </c>
      <c r="C202" s="36">
        <v>30.0</v>
      </c>
      <c r="D202" s="37">
        <f t="shared" si="38"/>
        <v>300</v>
      </c>
      <c r="E202" s="41"/>
      <c r="F202" s="38"/>
      <c r="G202" s="40"/>
      <c r="H202" s="40"/>
      <c r="I202" s="41"/>
      <c r="J202" s="40"/>
      <c r="K202" s="39"/>
      <c r="L202" s="38"/>
      <c r="M202" s="41"/>
      <c r="N202" s="37">
        <f t="shared" si="39"/>
        <v>0</v>
      </c>
      <c r="O202" s="40"/>
      <c r="P202" s="40"/>
      <c r="Q202" s="67"/>
      <c r="R202" s="42">
        <f t="shared" si="40"/>
        <v>0</v>
      </c>
      <c r="S202" s="45">
        <f t="shared" si="41"/>
        <v>300</v>
      </c>
      <c r="T202" s="33">
        <f t="shared" si="42"/>
        <v>1</v>
      </c>
      <c r="U202" s="84"/>
      <c r="V202" s="3"/>
      <c r="W202" s="3"/>
      <c r="X202" s="3"/>
      <c r="Y202" s="3"/>
      <c r="Z202" s="3"/>
    </row>
    <row r="203">
      <c r="A203" s="35" t="s">
        <v>28</v>
      </c>
      <c r="B203" s="24">
        <f t="shared" si="37"/>
        <v>300</v>
      </c>
      <c r="C203" s="36">
        <v>30.0</v>
      </c>
      <c r="D203" s="37">
        <f t="shared" si="38"/>
        <v>300</v>
      </c>
      <c r="E203" s="41"/>
      <c r="F203" s="39"/>
      <c r="G203" s="40"/>
      <c r="H203" s="40"/>
      <c r="I203" s="41">
        <v>0.5</v>
      </c>
      <c r="J203" s="40"/>
      <c r="K203" s="38"/>
      <c r="L203" s="39"/>
      <c r="M203" s="41"/>
      <c r="N203" s="37">
        <f t="shared" si="39"/>
        <v>0.5</v>
      </c>
      <c r="O203" s="40"/>
      <c r="P203" s="40"/>
      <c r="Q203" s="67"/>
      <c r="R203" s="42">
        <f t="shared" si="40"/>
        <v>0</v>
      </c>
      <c r="S203" s="45">
        <f t="shared" si="41"/>
        <v>299.5</v>
      </c>
      <c r="T203" s="33">
        <f t="shared" si="42"/>
        <v>7</v>
      </c>
      <c r="U203" s="1"/>
      <c r="V203" s="3"/>
      <c r="W203" s="3"/>
      <c r="X203" s="3"/>
      <c r="Y203" s="3"/>
      <c r="Z203" s="3"/>
    </row>
    <row r="204">
      <c r="A204" s="35" t="s">
        <v>29</v>
      </c>
      <c r="B204" s="24">
        <f t="shared" si="37"/>
        <v>300</v>
      </c>
      <c r="C204" s="36">
        <v>30.0</v>
      </c>
      <c r="D204" s="37">
        <f t="shared" si="38"/>
        <v>300</v>
      </c>
      <c r="E204" s="39"/>
      <c r="F204" s="39"/>
      <c r="G204" s="40"/>
      <c r="H204" s="40"/>
      <c r="I204" s="39"/>
      <c r="J204" s="40"/>
      <c r="K204" s="41"/>
      <c r="L204" s="39"/>
      <c r="M204" s="41">
        <v>1.0</v>
      </c>
      <c r="N204" s="37">
        <f t="shared" si="39"/>
        <v>1</v>
      </c>
      <c r="O204" s="40"/>
      <c r="P204" s="40"/>
      <c r="Q204" s="67"/>
      <c r="R204" s="42">
        <f t="shared" si="40"/>
        <v>0</v>
      </c>
      <c r="S204" s="45">
        <f t="shared" si="41"/>
        <v>299</v>
      </c>
      <c r="T204" s="33">
        <f t="shared" si="42"/>
        <v>9</v>
      </c>
      <c r="U204" s="1"/>
      <c r="V204" s="3"/>
      <c r="W204" s="3"/>
      <c r="X204" s="3"/>
      <c r="Y204" s="3"/>
      <c r="Z204" s="3"/>
    </row>
    <row r="205">
      <c r="A205" s="35" t="s">
        <v>30</v>
      </c>
      <c r="B205" s="24">
        <f t="shared" si="37"/>
        <v>299</v>
      </c>
      <c r="C205" s="36">
        <v>30.0</v>
      </c>
      <c r="D205" s="37">
        <f t="shared" si="38"/>
        <v>299</v>
      </c>
      <c r="E205" s="41">
        <v>1.5</v>
      </c>
      <c r="F205" s="41"/>
      <c r="G205" s="46">
        <v>0.5</v>
      </c>
      <c r="H205" s="40"/>
      <c r="I205" s="41"/>
      <c r="J205" s="40"/>
      <c r="K205" s="38"/>
      <c r="L205" s="38"/>
      <c r="M205" s="41"/>
      <c r="N205" s="37">
        <f t="shared" si="39"/>
        <v>2</v>
      </c>
      <c r="O205" s="40"/>
      <c r="P205" s="40"/>
      <c r="Q205" s="67"/>
      <c r="R205" s="42">
        <f t="shared" si="40"/>
        <v>0</v>
      </c>
      <c r="S205" s="45">
        <f t="shared" si="41"/>
        <v>297</v>
      </c>
      <c r="T205" s="33">
        <f t="shared" si="42"/>
        <v>12</v>
      </c>
      <c r="U205" s="84">
        <v>1.0</v>
      </c>
      <c r="V205" s="3"/>
      <c r="W205" s="3"/>
      <c r="X205" s="3"/>
      <c r="Y205" s="3"/>
      <c r="Z205" s="3"/>
    </row>
    <row r="206">
      <c r="A206" s="35" t="s">
        <v>31</v>
      </c>
      <c r="B206" s="24">
        <f t="shared" si="37"/>
        <v>300</v>
      </c>
      <c r="C206" s="36">
        <v>30.0</v>
      </c>
      <c r="D206" s="37">
        <f t="shared" si="38"/>
        <v>300</v>
      </c>
      <c r="E206" s="38"/>
      <c r="F206" s="39"/>
      <c r="G206" s="40"/>
      <c r="H206" s="40"/>
      <c r="I206" s="39"/>
      <c r="J206" s="38"/>
      <c r="K206" s="39"/>
      <c r="L206" s="38"/>
      <c r="M206" s="41"/>
      <c r="N206" s="37">
        <f t="shared" si="39"/>
        <v>0</v>
      </c>
      <c r="O206" s="40"/>
      <c r="P206" s="40"/>
      <c r="Q206" s="67"/>
      <c r="R206" s="42">
        <f t="shared" si="40"/>
        <v>0</v>
      </c>
      <c r="S206" s="45">
        <f t="shared" si="41"/>
        <v>300</v>
      </c>
      <c r="T206" s="33">
        <f t="shared" si="42"/>
        <v>1</v>
      </c>
      <c r="U206" s="84"/>
      <c r="V206" s="3"/>
      <c r="W206" s="3"/>
      <c r="X206" s="3"/>
      <c r="Y206" s="3"/>
      <c r="Z206" s="3"/>
    </row>
    <row r="207">
      <c r="A207" s="35" t="s">
        <v>32</v>
      </c>
      <c r="B207" s="24">
        <f t="shared" si="37"/>
        <v>300</v>
      </c>
      <c r="C207" s="36">
        <v>30.0</v>
      </c>
      <c r="D207" s="37">
        <f t="shared" si="38"/>
        <v>300</v>
      </c>
      <c r="E207" s="39"/>
      <c r="F207" s="39"/>
      <c r="G207" s="40"/>
      <c r="H207" s="40"/>
      <c r="I207" s="38"/>
      <c r="J207" s="40"/>
      <c r="K207" s="39"/>
      <c r="L207" s="38"/>
      <c r="M207" s="41"/>
      <c r="N207" s="37">
        <f t="shared" si="39"/>
        <v>0</v>
      </c>
      <c r="O207" s="40"/>
      <c r="P207" s="40"/>
      <c r="Q207" s="67"/>
      <c r="R207" s="42">
        <f t="shared" si="40"/>
        <v>0</v>
      </c>
      <c r="S207" s="47">
        <f t="shared" si="41"/>
        <v>300</v>
      </c>
      <c r="T207" s="33">
        <f t="shared" si="42"/>
        <v>1</v>
      </c>
      <c r="U207" s="1"/>
      <c r="V207" s="3"/>
      <c r="W207" s="3"/>
      <c r="X207" s="3"/>
      <c r="Y207" s="3"/>
      <c r="Z207" s="3"/>
    </row>
    <row r="208">
      <c r="A208" s="35" t="s">
        <v>33</v>
      </c>
      <c r="B208" s="24">
        <f t="shared" si="37"/>
        <v>300</v>
      </c>
      <c r="C208" s="36">
        <v>30.0</v>
      </c>
      <c r="D208" s="37">
        <f t="shared" si="38"/>
        <v>300</v>
      </c>
      <c r="E208" s="39"/>
      <c r="F208" s="41"/>
      <c r="G208" s="40"/>
      <c r="H208" s="40"/>
      <c r="I208" s="39"/>
      <c r="J208" s="38"/>
      <c r="K208" s="39"/>
      <c r="L208" s="38"/>
      <c r="M208" s="41"/>
      <c r="N208" s="37">
        <f t="shared" si="39"/>
        <v>0</v>
      </c>
      <c r="O208" s="40"/>
      <c r="P208" s="40"/>
      <c r="Q208" s="67"/>
      <c r="R208" s="42">
        <f t="shared" si="40"/>
        <v>0</v>
      </c>
      <c r="S208" s="47">
        <f t="shared" si="41"/>
        <v>300</v>
      </c>
      <c r="T208" s="33">
        <f t="shared" si="42"/>
        <v>1</v>
      </c>
      <c r="U208" s="84"/>
      <c r="V208" s="3"/>
      <c r="W208" s="3"/>
      <c r="X208" s="3"/>
      <c r="Y208" s="3"/>
      <c r="Z208" s="3"/>
    </row>
    <row r="209">
      <c r="A209" s="35" t="s">
        <v>34</v>
      </c>
      <c r="B209" s="24">
        <f t="shared" si="37"/>
        <v>299</v>
      </c>
      <c r="C209" s="36">
        <v>30.0</v>
      </c>
      <c r="D209" s="37">
        <f t="shared" si="38"/>
        <v>299</v>
      </c>
      <c r="E209" s="39"/>
      <c r="F209" s="41"/>
      <c r="G209" s="40"/>
      <c r="H209" s="40"/>
      <c r="I209" s="39"/>
      <c r="J209" s="40"/>
      <c r="K209" s="41"/>
      <c r="L209" s="38"/>
      <c r="M209" s="41"/>
      <c r="N209" s="37">
        <f t="shared" si="39"/>
        <v>0</v>
      </c>
      <c r="O209" s="40"/>
      <c r="P209" s="40"/>
      <c r="Q209" s="67"/>
      <c r="R209" s="42">
        <f t="shared" si="40"/>
        <v>0</v>
      </c>
      <c r="S209" s="43">
        <f t="shared" si="41"/>
        <v>299</v>
      </c>
      <c r="T209" s="33">
        <f t="shared" si="42"/>
        <v>9</v>
      </c>
      <c r="U209" s="84">
        <v>1.0</v>
      </c>
      <c r="V209" s="3"/>
      <c r="W209" s="3"/>
      <c r="X209" s="3"/>
      <c r="Y209" s="3"/>
      <c r="Z209" s="3"/>
    </row>
    <row r="210">
      <c r="A210" s="35" t="s">
        <v>35</v>
      </c>
      <c r="B210" s="24">
        <f t="shared" si="37"/>
        <v>300</v>
      </c>
      <c r="C210" s="36">
        <v>30.0</v>
      </c>
      <c r="D210" s="37">
        <f t="shared" si="38"/>
        <v>300</v>
      </c>
      <c r="E210" s="39"/>
      <c r="F210" s="41"/>
      <c r="G210" s="40"/>
      <c r="H210" s="40"/>
      <c r="I210" s="39"/>
      <c r="J210" s="40"/>
      <c r="K210" s="41">
        <v>0.5</v>
      </c>
      <c r="L210" s="41"/>
      <c r="M210" s="41"/>
      <c r="N210" s="37">
        <f t="shared" si="39"/>
        <v>0.5</v>
      </c>
      <c r="O210" s="40"/>
      <c r="P210" s="40"/>
      <c r="Q210" s="67"/>
      <c r="R210" s="42">
        <f t="shared" si="40"/>
        <v>0</v>
      </c>
      <c r="S210" s="45">
        <f t="shared" si="41"/>
        <v>299.5</v>
      </c>
      <c r="T210" s="33">
        <f t="shared" si="42"/>
        <v>7</v>
      </c>
      <c r="U210" s="1"/>
      <c r="V210" s="3"/>
      <c r="W210" s="3"/>
      <c r="X210" s="3"/>
      <c r="Y210" s="3"/>
      <c r="Z210" s="3"/>
    </row>
    <row r="211">
      <c r="A211" s="48" t="s">
        <v>36</v>
      </c>
      <c r="B211" s="49">
        <f t="shared" si="37"/>
        <v>300</v>
      </c>
      <c r="C211" s="50">
        <v>30.0</v>
      </c>
      <c r="D211" s="51">
        <f t="shared" si="38"/>
        <v>300</v>
      </c>
      <c r="E211" s="74"/>
      <c r="F211" s="68"/>
      <c r="G211" s="53"/>
      <c r="H211" s="53"/>
      <c r="I211" s="68"/>
      <c r="J211" s="53"/>
      <c r="K211" s="52"/>
      <c r="L211" s="52"/>
      <c r="M211" s="74"/>
      <c r="N211" s="51">
        <f t="shared" si="39"/>
        <v>0</v>
      </c>
      <c r="O211" s="53"/>
      <c r="P211" s="53"/>
      <c r="Q211" s="69"/>
      <c r="R211" s="56">
        <f t="shared" si="40"/>
        <v>0</v>
      </c>
      <c r="S211" s="57">
        <f t="shared" si="41"/>
        <v>300</v>
      </c>
      <c r="T211" s="58">
        <f t="shared" si="42"/>
        <v>1</v>
      </c>
      <c r="U211" s="84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59"/>
      <c r="F212" s="59"/>
      <c r="G212" s="60"/>
      <c r="H212" s="60"/>
      <c r="I212" s="59"/>
      <c r="J212" s="60"/>
      <c r="K212" s="59"/>
      <c r="L212" s="59"/>
      <c r="M212" s="61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62"/>
      <c r="B213" s="63" t="s">
        <v>37</v>
      </c>
      <c r="C213" s="3"/>
      <c r="D213" s="3"/>
      <c r="E213" s="59"/>
      <c r="F213" s="85"/>
      <c r="G213" s="60"/>
      <c r="H213" s="64"/>
      <c r="I213" s="79"/>
      <c r="J213" s="60"/>
      <c r="K213" s="59"/>
      <c r="L213" s="59"/>
      <c r="M213" s="71"/>
      <c r="N213" s="6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62"/>
      <c r="B214" s="65" t="s">
        <v>127</v>
      </c>
      <c r="C214" s="3"/>
      <c r="D214" s="3"/>
      <c r="E214" s="59"/>
      <c r="F214" s="85"/>
      <c r="G214" s="60"/>
      <c r="H214" s="64"/>
      <c r="I214" s="79"/>
      <c r="J214" s="60"/>
      <c r="K214" s="59"/>
      <c r="L214" s="59"/>
      <c r="M214" s="71"/>
      <c r="N214" s="90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62"/>
      <c r="B215" s="65" t="s">
        <v>128</v>
      </c>
      <c r="C215" s="3"/>
      <c r="D215" s="3"/>
      <c r="E215" s="59"/>
      <c r="F215" s="85"/>
      <c r="G215" s="60"/>
      <c r="H215" s="64"/>
      <c r="I215" s="79"/>
      <c r="J215" s="60"/>
      <c r="K215" s="59"/>
      <c r="L215" s="59"/>
      <c r="M215" s="71"/>
      <c r="N215" s="90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62"/>
      <c r="B216" s="65" t="s">
        <v>129</v>
      </c>
      <c r="C216" s="3"/>
      <c r="D216" s="3"/>
      <c r="E216" s="59"/>
      <c r="F216" s="85"/>
      <c r="G216" s="60"/>
      <c r="H216" s="64"/>
      <c r="I216" s="79"/>
      <c r="J216" s="60"/>
      <c r="K216" s="59"/>
      <c r="L216" s="59"/>
      <c r="M216" s="71"/>
      <c r="N216" s="90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62"/>
      <c r="B217" s="65" t="s">
        <v>130</v>
      </c>
      <c r="C217" s="3"/>
      <c r="D217" s="3"/>
      <c r="E217" s="59"/>
      <c r="F217" s="85"/>
      <c r="G217" s="60"/>
      <c r="H217" s="64"/>
      <c r="I217" s="79"/>
      <c r="J217" s="60"/>
      <c r="K217" s="59"/>
      <c r="L217" s="59"/>
      <c r="M217" s="71"/>
      <c r="N217" s="90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62"/>
      <c r="B218" s="65" t="s">
        <v>131</v>
      </c>
      <c r="C218" s="3"/>
      <c r="D218" s="3"/>
      <c r="E218" s="59"/>
      <c r="F218" s="85"/>
      <c r="G218" s="60"/>
      <c r="H218" s="64"/>
      <c r="I218" s="79"/>
      <c r="J218" s="60"/>
      <c r="K218" s="59"/>
      <c r="L218" s="59"/>
      <c r="M218" s="71"/>
      <c r="N218" s="90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65" t="s">
        <v>132</v>
      </c>
      <c r="C219" s="3"/>
      <c r="D219" s="3"/>
      <c r="E219" s="59"/>
      <c r="F219" s="59"/>
      <c r="G219" s="60"/>
      <c r="H219" s="60"/>
      <c r="I219" s="59"/>
      <c r="J219" s="60"/>
      <c r="K219" s="59"/>
      <c r="L219" s="59"/>
      <c r="M219" s="71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65" t="s">
        <v>133</v>
      </c>
      <c r="C220" s="3"/>
      <c r="D220" s="3"/>
      <c r="E220" s="59"/>
      <c r="F220" s="59"/>
      <c r="G220" s="60"/>
      <c r="H220" s="60"/>
      <c r="I220" s="59"/>
      <c r="J220" s="60"/>
      <c r="K220" s="59"/>
      <c r="L220" s="59"/>
      <c r="M220" s="72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59"/>
      <c r="F221" s="59"/>
      <c r="G221" s="60"/>
      <c r="H221" s="60"/>
      <c r="I221" s="59"/>
      <c r="J221" s="60"/>
      <c r="K221" s="59"/>
      <c r="L221" s="59"/>
      <c r="M221" s="61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59"/>
      <c r="F222" s="59"/>
      <c r="G222" s="60"/>
      <c r="H222" s="60"/>
      <c r="I222" s="59"/>
      <c r="J222" s="60"/>
      <c r="K222" s="59"/>
      <c r="L222" s="59"/>
      <c r="M222" s="61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59"/>
      <c r="F223" s="59"/>
      <c r="G223" s="60"/>
      <c r="H223" s="60"/>
      <c r="I223" s="59"/>
      <c r="J223" s="60"/>
      <c r="K223" s="59"/>
      <c r="L223" s="59"/>
      <c r="M223" s="61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" t="s">
        <v>134</v>
      </c>
      <c r="U224" s="2"/>
      <c r="V224" s="3"/>
      <c r="W224" s="3"/>
      <c r="X224" s="3"/>
      <c r="Y224" s="3"/>
      <c r="Z224" s="3"/>
    </row>
    <row r="225">
      <c r="A225" s="1" t="s">
        <v>135</v>
      </c>
      <c r="U225" s="2"/>
      <c r="V225" s="3"/>
      <c r="W225" s="3"/>
      <c r="X225" s="3"/>
      <c r="Y225" s="3"/>
      <c r="Z225" s="3"/>
    </row>
    <row r="226">
      <c r="A226" s="2"/>
      <c r="B226" s="4"/>
      <c r="C226" s="2"/>
      <c r="D226" s="2"/>
      <c r="E226" s="5"/>
      <c r="F226" s="5"/>
      <c r="G226" s="6"/>
      <c r="H226" s="6"/>
      <c r="I226" s="5"/>
      <c r="J226" s="6"/>
      <c r="K226" s="5"/>
      <c r="L226" s="5"/>
      <c r="M226" s="7"/>
      <c r="N226" s="2"/>
      <c r="O226" s="2"/>
      <c r="P226" s="2"/>
      <c r="Q226" s="2"/>
      <c r="R226" s="2"/>
      <c r="S226" s="2"/>
      <c r="T226" s="2"/>
      <c r="U226" s="2"/>
      <c r="V226" s="3"/>
      <c r="W226" s="3"/>
      <c r="X226" s="3"/>
      <c r="Y226" s="3"/>
      <c r="Z226" s="3"/>
    </row>
    <row r="227">
      <c r="A227" s="8" t="s">
        <v>2</v>
      </c>
      <c r="B227" s="9" t="s">
        <v>3</v>
      </c>
      <c r="C227" s="10"/>
      <c r="D227" s="11"/>
      <c r="E227" s="12" t="s">
        <v>4</v>
      </c>
      <c r="F227" s="10"/>
      <c r="G227" s="10"/>
      <c r="H227" s="10"/>
      <c r="I227" s="10"/>
      <c r="J227" s="10"/>
      <c r="K227" s="10"/>
      <c r="L227" s="10"/>
      <c r="M227" s="10"/>
      <c r="N227" s="11"/>
      <c r="O227" s="13" t="s">
        <v>5</v>
      </c>
      <c r="P227" s="10"/>
      <c r="Q227" s="10"/>
      <c r="R227" s="11"/>
      <c r="S227" s="14" t="s">
        <v>6</v>
      </c>
      <c r="T227" s="14" t="s">
        <v>7</v>
      </c>
      <c r="U227" s="6"/>
      <c r="V227" s="3"/>
      <c r="W227" s="3"/>
      <c r="X227" s="3"/>
      <c r="Y227" s="3"/>
      <c r="Z227" s="3"/>
    </row>
    <row r="228">
      <c r="A228" s="15"/>
      <c r="B228" s="16" t="s">
        <v>8</v>
      </c>
      <c r="C228" s="17" t="s">
        <v>9</v>
      </c>
      <c r="D228" s="14" t="s">
        <v>10</v>
      </c>
      <c r="E228" s="17" t="s">
        <v>11</v>
      </c>
      <c r="F228" s="17" t="s">
        <v>12</v>
      </c>
      <c r="G228" s="17" t="s">
        <v>13</v>
      </c>
      <c r="H228" s="17" t="s">
        <v>14</v>
      </c>
      <c r="I228" s="17" t="s">
        <v>15</v>
      </c>
      <c r="J228" s="17" t="s">
        <v>16</v>
      </c>
      <c r="K228" s="17" t="s">
        <v>17</v>
      </c>
      <c r="L228" s="17" t="s">
        <v>18</v>
      </c>
      <c r="M228" s="18" t="s">
        <v>19</v>
      </c>
      <c r="N228" s="14" t="s">
        <v>20</v>
      </c>
      <c r="O228" s="17" t="s">
        <v>21</v>
      </c>
      <c r="P228" s="17" t="s">
        <v>22</v>
      </c>
      <c r="Q228" s="17" t="s">
        <v>23</v>
      </c>
      <c r="R228" s="14" t="s">
        <v>24</v>
      </c>
      <c r="S228" s="19"/>
      <c r="T228" s="19"/>
      <c r="U228" s="6"/>
      <c r="V228" s="3"/>
      <c r="W228" s="3"/>
      <c r="X228" s="3"/>
      <c r="Y228" s="3"/>
      <c r="Z228" s="3"/>
    </row>
    <row r="229">
      <c r="A229" s="20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6"/>
      <c r="V229" s="3"/>
      <c r="W229" s="3"/>
      <c r="X229" s="3"/>
      <c r="Y229" s="3"/>
      <c r="Z229" s="3"/>
    </row>
    <row r="230">
      <c r="A230" s="21">
        <v>10.0</v>
      </c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6"/>
      <c r="V230" s="3"/>
      <c r="W230" s="3"/>
      <c r="X230" s="3"/>
      <c r="Y230" s="3"/>
      <c r="Z230" s="3"/>
    </row>
    <row r="231">
      <c r="A231" s="23" t="s">
        <v>25</v>
      </c>
      <c r="B231" s="24">
        <f t="shared" ref="B231:B242" si="43">300-U231</f>
        <v>297</v>
      </c>
      <c r="C231" s="25">
        <v>30.0</v>
      </c>
      <c r="D231" s="26">
        <f t="shared" ref="D231:D242" si="44">B231</f>
        <v>297</v>
      </c>
      <c r="E231" s="28"/>
      <c r="F231" s="28"/>
      <c r="G231" s="29"/>
      <c r="H231" s="29"/>
      <c r="I231" s="28"/>
      <c r="J231" s="29"/>
      <c r="K231" s="73">
        <v>1.0</v>
      </c>
      <c r="L231" s="27"/>
      <c r="M231" s="73"/>
      <c r="N231" s="26">
        <f t="shared" ref="N231:N242" si="45">SUM(E231:M231)</f>
        <v>1</v>
      </c>
      <c r="O231" s="29"/>
      <c r="P231" s="29"/>
      <c r="Q231" s="83"/>
      <c r="R231" s="31">
        <f t="shared" ref="R231:R242" si="46">SUM(O231:Q231)</f>
        <v>0</v>
      </c>
      <c r="S231" s="32">
        <f t="shared" ref="S231:S242" si="47">D231-N231+R231</f>
        <v>296</v>
      </c>
      <c r="T231" s="33">
        <f t="shared" ref="T231:T242" si="48">RANK(S231,$S$231:$S$242,0)</f>
        <v>10</v>
      </c>
      <c r="U231" s="84">
        <v>3.0</v>
      </c>
      <c r="V231" s="3"/>
      <c r="W231" s="3"/>
      <c r="X231" s="3"/>
      <c r="Y231" s="3"/>
      <c r="Z231" s="3"/>
    </row>
    <row r="232">
      <c r="A232" s="35" t="s">
        <v>26</v>
      </c>
      <c r="B232" s="24">
        <f t="shared" si="43"/>
        <v>299</v>
      </c>
      <c r="C232" s="36">
        <v>30.0</v>
      </c>
      <c r="D232" s="37">
        <f t="shared" si="44"/>
        <v>299</v>
      </c>
      <c r="E232" s="38"/>
      <c r="F232" s="39"/>
      <c r="G232" s="46"/>
      <c r="H232" s="40"/>
      <c r="I232" s="39"/>
      <c r="J232" s="40"/>
      <c r="K232" s="41"/>
      <c r="L232" s="38"/>
      <c r="M232" s="41"/>
      <c r="N232" s="37">
        <f t="shared" si="45"/>
        <v>0</v>
      </c>
      <c r="O232" s="40"/>
      <c r="P232" s="40"/>
      <c r="Q232" s="67"/>
      <c r="R232" s="42">
        <f t="shared" si="46"/>
        <v>0</v>
      </c>
      <c r="S232" s="43">
        <f t="shared" si="47"/>
        <v>299</v>
      </c>
      <c r="T232" s="33">
        <f t="shared" si="48"/>
        <v>3</v>
      </c>
      <c r="U232" s="84">
        <v>1.0</v>
      </c>
      <c r="V232" s="3"/>
      <c r="W232" s="3"/>
      <c r="X232" s="3"/>
      <c r="Y232" s="3"/>
      <c r="Z232" s="3"/>
    </row>
    <row r="233">
      <c r="A233" s="35" t="s">
        <v>27</v>
      </c>
      <c r="B233" s="24">
        <f t="shared" si="43"/>
        <v>300</v>
      </c>
      <c r="C233" s="36">
        <v>30.0</v>
      </c>
      <c r="D233" s="37">
        <f t="shared" si="44"/>
        <v>300</v>
      </c>
      <c r="E233" s="41"/>
      <c r="F233" s="38"/>
      <c r="G233" s="40"/>
      <c r="H233" s="40"/>
      <c r="I233" s="41"/>
      <c r="J233" s="40"/>
      <c r="K233" s="41">
        <v>1.0</v>
      </c>
      <c r="L233" s="38"/>
      <c r="M233" s="41"/>
      <c r="N233" s="37">
        <f t="shared" si="45"/>
        <v>1</v>
      </c>
      <c r="O233" s="40"/>
      <c r="P233" s="40"/>
      <c r="Q233" s="67"/>
      <c r="R233" s="42">
        <f t="shared" si="46"/>
        <v>0</v>
      </c>
      <c r="S233" s="45">
        <f t="shared" si="47"/>
        <v>299</v>
      </c>
      <c r="T233" s="33">
        <f t="shared" si="48"/>
        <v>3</v>
      </c>
      <c r="U233" s="84"/>
      <c r="V233" s="3"/>
      <c r="W233" s="3"/>
      <c r="X233" s="3"/>
      <c r="Y233" s="3"/>
      <c r="Z233" s="3"/>
    </row>
    <row r="234">
      <c r="A234" s="35" t="s">
        <v>28</v>
      </c>
      <c r="B234" s="24">
        <f t="shared" si="43"/>
        <v>300</v>
      </c>
      <c r="C234" s="36">
        <v>30.0</v>
      </c>
      <c r="D234" s="37">
        <f t="shared" si="44"/>
        <v>300</v>
      </c>
      <c r="E234" s="41"/>
      <c r="F234" s="39"/>
      <c r="G234" s="40"/>
      <c r="H234" s="40"/>
      <c r="I234" s="41">
        <v>0.5</v>
      </c>
      <c r="J234" s="40"/>
      <c r="K234" s="38"/>
      <c r="L234" s="39"/>
      <c r="M234" s="41"/>
      <c r="N234" s="37">
        <f t="shared" si="45"/>
        <v>0.5</v>
      </c>
      <c r="O234" s="40"/>
      <c r="P234" s="40"/>
      <c r="Q234" s="67"/>
      <c r="R234" s="42">
        <f t="shared" si="46"/>
        <v>0</v>
      </c>
      <c r="S234" s="45">
        <f t="shared" si="47"/>
        <v>299.5</v>
      </c>
      <c r="T234" s="33">
        <f t="shared" si="48"/>
        <v>2</v>
      </c>
      <c r="U234" s="1"/>
      <c r="V234" s="3"/>
      <c r="W234" s="3"/>
      <c r="X234" s="3"/>
      <c r="Y234" s="3"/>
      <c r="Z234" s="3"/>
    </row>
    <row r="235">
      <c r="A235" s="35" t="s">
        <v>29</v>
      </c>
      <c r="B235" s="24">
        <f t="shared" si="43"/>
        <v>300</v>
      </c>
      <c r="C235" s="36">
        <v>30.0</v>
      </c>
      <c r="D235" s="37">
        <f t="shared" si="44"/>
        <v>300</v>
      </c>
      <c r="E235" s="41">
        <v>1.5</v>
      </c>
      <c r="F235" s="39"/>
      <c r="G235" s="40"/>
      <c r="H235" s="40"/>
      <c r="I235" s="41">
        <v>0.5</v>
      </c>
      <c r="J235" s="40"/>
      <c r="K235" s="41"/>
      <c r="L235" s="39"/>
      <c r="M235" s="41"/>
      <c r="N235" s="37">
        <f t="shared" si="45"/>
        <v>2</v>
      </c>
      <c r="O235" s="40"/>
      <c r="P235" s="40"/>
      <c r="Q235" s="67"/>
      <c r="R235" s="42">
        <f t="shared" si="46"/>
        <v>0</v>
      </c>
      <c r="S235" s="45">
        <f t="shared" si="47"/>
        <v>298</v>
      </c>
      <c r="T235" s="33">
        <f t="shared" si="48"/>
        <v>5</v>
      </c>
      <c r="U235" s="1"/>
      <c r="V235" s="3"/>
      <c r="W235" s="3"/>
      <c r="X235" s="3"/>
      <c r="Y235" s="3"/>
      <c r="Z235" s="3"/>
    </row>
    <row r="236">
      <c r="A236" s="35" t="s">
        <v>30</v>
      </c>
      <c r="B236" s="24">
        <f t="shared" si="43"/>
        <v>299</v>
      </c>
      <c r="C236" s="36">
        <v>30.0</v>
      </c>
      <c r="D236" s="37">
        <f t="shared" si="44"/>
        <v>299</v>
      </c>
      <c r="E236" s="41">
        <v>3.0</v>
      </c>
      <c r="F236" s="41"/>
      <c r="G236" s="46"/>
      <c r="H236" s="40"/>
      <c r="I236" s="41"/>
      <c r="J236" s="40"/>
      <c r="K236" s="38"/>
      <c r="L236" s="38"/>
      <c r="M236" s="41"/>
      <c r="N236" s="37">
        <f t="shared" si="45"/>
        <v>3</v>
      </c>
      <c r="O236" s="40"/>
      <c r="P236" s="40"/>
      <c r="Q236" s="67"/>
      <c r="R236" s="42">
        <f t="shared" si="46"/>
        <v>0</v>
      </c>
      <c r="S236" s="45">
        <f t="shared" si="47"/>
        <v>296</v>
      </c>
      <c r="T236" s="33">
        <f t="shared" si="48"/>
        <v>10</v>
      </c>
      <c r="U236" s="84">
        <v>1.0</v>
      </c>
      <c r="V236" s="3"/>
      <c r="W236" s="3"/>
      <c r="X236" s="3"/>
      <c r="Y236" s="3"/>
      <c r="Z236" s="3"/>
    </row>
    <row r="237">
      <c r="A237" s="35" t="s">
        <v>31</v>
      </c>
      <c r="B237" s="24">
        <f t="shared" si="43"/>
        <v>300</v>
      </c>
      <c r="C237" s="36">
        <v>30.0</v>
      </c>
      <c r="D237" s="37">
        <f t="shared" si="44"/>
        <v>300</v>
      </c>
      <c r="E237" s="38"/>
      <c r="F237" s="39"/>
      <c r="G237" s="40"/>
      <c r="H237" s="40"/>
      <c r="I237" s="39"/>
      <c r="J237" s="38"/>
      <c r="K237" s="39"/>
      <c r="L237" s="38"/>
      <c r="M237" s="41"/>
      <c r="N237" s="37">
        <f t="shared" si="45"/>
        <v>0</v>
      </c>
      <c r="O237" s="40"/>
      <c r="P237" s="40"/>
      <c r="Q237" s="67"/>
      <c r="R237" s="42">
        <f t="shared" si="46"/>
        <v>0</v>
      </c>
      <c r="S237" s="45">
        <f t="shared" si="47"/>
        <v>300</v>
      </c>
      <c r="T237" s="33">
        <f t="shared" si="48"/>
        <v>1</v>
      </c>
      <c r="U237" s="84"/>
      <c r="V237" s="3"/>
      <c r="W237" s="3"/>
      <c r="X237" s="3"/>
      <c r="Y237" s="3"/>
      <c r="Z237" s="3"/>
    </row>
    <row r="238">
      <c r="A238" s="35" t="s">
        <v>32</v>
      </c>
      <c r="B238" s="24">
        <f t="shared" si="43"/>
        <v>300</v>
      </c>
      <c r="C238" s="36">
        <v>30.0</v>
      </c>
      <c r="D238" s="37">
        <f t="shared" si="44"/>
        <v>300</v>
      </c>
      <c r="E238" s="41">
        <v>1.5</v>
      </c>
      <c r="F238" s="39"/>
      <c r="G238" s="40"/>
      <c r="H238" s="40"/>
      <c r="I238" s="38"/>
      <c r="J238" s="40"/>
      <c r="K238" s="41">
        <v>1.0</v>
      </c>
      <c r="L238" s="38"/>
      <c r="M238" s="41"/>
      <c r="N238" s="37">
        <f t="shared" si="45"/>
        <v>2.5</v>
      </c>
      <c r="O238" s="40"/>
      <c r="P238" s="40"/>
      <c r="Q238" s="67"/>
      <c r="R238" s="42">
        <f t="shared" si="46"/>
        <v>0</v>
      </c>
      <c r="S238" s="47">
        <f t="shared" si="47"/>
        <v>297.5</v>
      </c>
      <c r="T238" s="33">
        <f t="shared" si="48"/>
        <v>8</v>
      </c>
      <c r="U238" s="1"/>
      <c r="V238" s="3"/>
      <c r="W238" s="3"/>
      <c r="X238" s="3"/>
      <c r="Y238" s="3"/>
      <c r="Z238" s="3"/>
    </row>
    <row r="239">
      <c r="A239" s="35" t="s">
        <v>33</v>
      </c>
      <c r="B239" s="24">
        <f t="shared" si="43"/>
        <v>300</v>
      </c>
      <c r="C239" s="36">
        <v>30.0</v>
      </c>
      <c r="D239" s="37">
        <f t="shared" si="44"/>
        <v>300</v>
      </c>
      <c r="E239" s="39"/>
      <c r="F239" s="41">
        <v>0.5</v>
      </c>
      <c r="G239" s="40"/>
      <c r="H239" s="40"/>
      <c r="I239" s="41">
        <v>0.5</v>
      </c>
      <c r="J239" s="38"/>
      <c r="K239" s="41">
        <v>1.0</v>
      </c>
      <c r="L239" s="38"/>
      <c r="M239" s="41"/>
      <c r="N239" s="37">
        <f t="shared" si="45"/>
        <v>2</v>
      </c>
      <c r="O239" s="40"/>
      <c r="P239" s="40"/>
      <c r="Q239" s="67"/>
      <c r="R239" s="42">
        <f t="shared" si="46"/>
        <v>0</v>
      </c>
      <c r="S239" s="47">
        <f t="shared" si="47"/>
        <v>298</v>
      </c>
      <c r="T239" s="33">
        <f t="shared" si="48"/>
        <v>5</v>
      </c>
      <c r="U239" s="84"/>
      <c r="V239" s="3"/>
      <c r="W239" s="3"/>
      <c r="X239" s="3"/>
      <c r="Y239" s="3"/>
      <c r="Z239" s="3"/>
    </row>
    <row r="240">
      <c r="A240" s="35" t="s">
        <v>34</v>
      </c>
      <c r="B240" s="24">
        <f t="shared" si="43"/>
        <v>300</v>
      </c>
      <c r="C240" s="36">
        <v>30.0</v>
      </c>
      <c r="D240" s="37">
        <f t="shared" si="44"/>
        <v>300</v>
      </c>
      <c r="E240" s="39"/>
      <c r="F240" s="41"/>
      <c r="G240" s="40"/>
      <c r="H240" s="40"/>
      <c r="I240" s="41">
        <v>1.0</v>
      </c>
      <c r="J240" s="40"/>
      <c r="K240" s="41">
        <v>1.0</v>
      </c>
      <c r="L240" s="38"/>
      <c r="M240" s="41"/>
      <c r="N240" s="37">
        <f t="shared" si="45"/>
        <v>2</v>
      </c>
      <c r="O240" s="40"/>
      <c r="P240" s="40"/>
      <c r="Q240" s="67"/>
      <c r="R240" s="42">
        <f t="shared" si="46"/>
        <v>0</v>
      </c>
      <c r="S240" s="43">
        <f t="shared" si="47"/>
        <v>298</v>
      </c>
      <c r="T240" s="33">
        <f t="shared" si="48"/>
        <v>5</v>
      </c>
      <c r="U240" s="84"/>
      <c r="V240" s="3"/>
      <c r="W240" s="3"/>
      <c r="X240" s="3"/>
      <c r="Y240" s="3"/>
      <c r="Z240" s="3"/>
    </row>
    <row r="241">
      <c r="A241" s="35" t="s">
        <v>35</v>
      </c>
      <c r="B241" s="24">
        <f t="shared" si="43"/>
        <v>298</v>
      </c>
      <c r="C241" s="36">
        <v>30.0</v>
      </c>
      <c r="D241" s="37">
        <f t="shared" si="44"/>
        <v>298</v>
      </c>
      <c r="E241" s="41">
        <v>1.5</v>
      </c>
      <c r="F241" s="41">
        <v>0.5</v>
      </c>
      <c r="G241" s="40"/>
      <c r="H241" s="40"/>
      <c r="I241" s="39"/>
      <c r="J241" s="40"/>
      <c r="K241" s="41"/>
      <c r="L241" s="41"/>
      <c r="M241" s="41"/>
      <c r="N241" s="37">
        <f t="shared" si="45"/>
        <v>2</v>
      </c>
      <c r="O241" s="40"/>
      <c r="P241" s="40"/>
      <c r="Q241" s="67"/>
      <c r="R241" s="42">
        <f t="shared" si="46"/>
        <v>0</v>
      </c>
      <c r="S241" s="45">
        <f t="shared" si="47"/>
        <v>296</v>
      </c>
      <c r="T241" s="33">
        <f t="shared" si="48"/>
        <v>10</v>
      </c>
      <c r="U241" s="84">
        <v>2.0</v>
      </c>
      <c r="V241" s="3"/>
      <c r="W241" s="3"/>
      <c r="X241" s="3"/>
      <c r="Y241" s="3"/>
      <c r="Z241" s="3"/>
    </row>
    <row r="242">
      <c r="A242" s="48" t="s">
        <v>36</v>
      </c>
      <c r="B242" s="49">
        <f t="shared" si="43"/>
        <v>299</v>
      </c>
      <c r="C242" s="50">
        <v>30.0</v>
      </c>
      <c r="D242" s="51">
        <f t="shared" si="44"/>
        <v>299</v>
      </c>
      <c r="E242" s="74">
        <v>1.5</v>
      </c>
      <c r="F242" s="74">
        <v>1.0</v>
      </c>
      <c r="G242" s="53"/>
      <c r="H242" s="53"/>
      <c r="I242" s="68"/>
      <c r="J242" s="53"/>
      <c r="K242" s="52"/>
      <c r="L242" s="52"/>
      <c r="M242" s="74"/>
      <c r="N242" s="51">
        <f t="shared" si="45"/>
        <v>2.5</v>
      </c>
      <c r="O242" s="53"/>
      <c r="P242" s="53"/>
      <c r="Q242" s="69"/>
      <c r="R242" s="56">
        <f t="shared" si="46"/>
        <v>0</v>
      </c>
      <c r="S242" s="57">
        <f t="shared" si="47"/>
        <v>296.5</v>
      </c>
      <c r="T242" s="33">
        <f t="shared" si="48"/>
        <v>9</v>
      </c>
      <c r="U242" s="84">
        <v>1.0</v>
      </c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59"/>
      <c r="F243" s="59"/>
      <c r="G243" s="60"/>
      <c r="H243" s="60"/>
      <c r="I243" s="59"/>
      <c r="J243" s="60"/>
      <c r="K243" s="59"/>
      <c r="L243" s="59"/>
      <c r="M243" s="61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62"/>
      <c r="B244" s="63" t="s">
        <v>37</v>
      </c>
      <c r="C244" s="3"/>
      <c r="D244" s="3"/>
      <c r="E244" s="59"/>
      <c r="F244" s="85"/>
      <c r="G244" s="60"/>
      <c r="H244" s="64"/>
      <c r="I244" s="79"/>
      <c r="J244" s="60"/>
      <c r="K244" s="59"/>
      <c r="L244" s="59"/>
      <c r="M244" s="71"/>
      <c r="N244" s="6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62"/>
      <c r="B245" s="65" t="s">
        <v>136</v>
      </c>
      <c r="C245" s="3"/>
      <c r="D245" s="3"/>
      <c r="E245" s="59"/>
      <c r="F245" s="85"/>
      <c r="G245" s="60"/>
      <c r="H245" s="64"/>
      <c r="I245" s="79"/>
      <c r="J245" s="60"/>
      <c r="K245" s="59"/>
      <c r="L245" s="59"/>
      <c r="M245" s="71"/>
      <c r="N245" s="6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62"/>
      <c r="B246" s="65" t="s">
        <v>137</v>
      </c>
      <c r="C246" s="3"/>
      <c r="D246" s="3"/>
      <c r="E246" s="59"/>
      <c r="F246" s="85"/>
      <c r="G246" s="60"/>
      <c r="H246" s="64"/>
      <c r="I246" s="79"/>
      <c r="J246" s="60"/>
      <c r="K246" s="59"/>
      <c r="L246" s="59"/>
      <c r="M246" s="71"/>
      <c r="N246" s="90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62"/>
      <c r="B247" s="65" t="s">
        <v>138</v>
      </c>
      <c r="C247" s="3"/>
      <c r="D247" s="3"/>
      <c r="E247" s="59"/>
      <c r="F247" s="85"/>
      <c r="G247" s="60"/>
      <c r="H247" s="64"/>
      <c r="I247" s="79"/>
      <c r="J247" s="60"/>
      <c r="K247" s="59"/>
      <c r="L247" s="59"/>
      <c r="M247" s="71"/>
      <c r="N247" s="90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62"/>
      <c r="B248" s="65" t="s">
        <v>139</v>
      </c>
      <c r="C248" s="3"/>
      <c r="D248" s="3"/>
      <c r="E248" s="59"/>
      <c r="F248" s="85"/>
      <c r="G248" s="60"/>
      <c r="H248" s="64"/>
      <c r="I248" s="79"/>
      <c r="J248" s="60"/>
      <c r="K248" s="59"/>
      <c r="L248" s="59"/>
      <c r="M248" s="71"/>
      <c r="N248" s="90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62"/>
      <c r="B249" s="65" t="s">
        <v>140</v>
      </c>
      <c r="C249" s="3"/>
      <c r="D249" s="3"/>
      <c r="E249" s="59"/>
      <c r="F249" s="85"/>
      <c r="G249" s="60"/>
      <c r="H249" s="64"/>
      <c r="I249" s="79"/>
      <c r="J249" s="60"/>
      <c r="K249" s="59"/>
      <c r="L249" s="59"/>
      <c r="M249" s="71"/>
      <c r="N249" s="90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62"/>
      <c r="B250" s="65" t="s">
        <v>141</v>
      </c>
      <c r="C250" s="3"/>
      <c r="D250" s="3"/>
      <c r="E250" s="59"/>
      <c r="F250" s="85"/>
      <c r="G250" s="60"/>
      <c r="H250" s="64"/>
      <c r="I250" s="79"/>
      <c r="J250" s="60"/>
      <c r="K250" s="59"/>
      <c r="L250" s="59"/>
      <c r="M250" s="71"/>
      <c r="N250" s="90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62"/>
      <c r="B251" s="65" t="s">
        <v>142</v>
      </c>
      <c r="C251" s="3"/>
      <c r="D251" s="3"/>
      <c r="E251" s="59"/>
      <c r="F251" s="85"/>
      <c r="G251" s="60"/>
      <c r="H251" s="64"/>
      <c r="I251" s="79"/>
      <c r="J251" s="60"/>
      <c r="K251" s="59"/>
      <c r="L251" s="59"/>
      <c r="M251" s="71"/>
      <c r="N251" s="90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65" t="s">
        <v>143</v>
      </c>
      <c r="C252" s="3"/>
      <c r="D252" s="3"/>
      <c r="E252" s="59"/>
      <c r="F252" s="59"/>
      <c r="G252" s="60"/>
      <c r="H252" s="60"/>
      <c r="I252" s="59"/>
      <c r="J252" s="60"/>
      <c r="K252" s="59"/>
      <c r="L252" s="59"/>
      <c r="M252" s="71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65" t="s">
        <v>144</v>
      </c>
      <c r="C253" s="3"/>
      <c r="D253" s="3"/>
      <c r="E253" s="59"/>
      <c r="F253" s="59"/>
      <c r="G253" s="60"/>
      <c r="H253" s="60"/>
      <c r="I253" s="59"/>
      <c r="J253" s="60"/>
      <c r="K253" s="59"/>
      <c r="L253" s="59"/>
      <c r="M253" s="72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65" t="s">
        <v>145</v>
      </c>
      <c r="C254" s="3"/>
      <c r="D254" s="3"/>
      <c r="E254" s="59"/>
      <c r="F254" s="59"/>
      <c r="G254" s="60"/>
      <c r="H254" s="60"/>
      <c r="I254" s="59"/>
      <c r="J254" s="60"/>
      <c r="K254" s="59"/>
      <c r="L254" s="59"/>
      <c r="M254" s="61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59"/>
      <c r="F255" s="59"/>
      <c r="G255" s="60"/>
      <c r="H255" s="60"/>
      <c r="I255" s="59"/>
      <c r="J255" s="60"/>
      <c r="K255" s="59"/>
      <c r="L255" s="59"/>
      <c r="M255" s="61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59"/>
      <c r="F256" s="59"/>
      <c r="G256" s="60"/>
      <c r="H256" s="60"/>
      <c r="I256" s="59"/>
      <c r="J256" s="60"/>
      <c r="K256" s="59"/>
      <c r="L256" s="59"/>
      <c r="M256" s="61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59"/>
      <c r="F257" s="59"/>
      <c r="G257" s="60"/>
      <c r="H257" s="60"/>
      <c r="I257" s="59"/>
      <c r="J257" s="60"/>
      <c r="K257" s="59"/>
      <c r="L257" s="59"/>
      <c r="M257" s="61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" t="s">
        <v>146</v>
      </c>
      <c r="U258" s="2"/>
      <c r="V258" s="3"/>
      <c r="W258" s="3"/>
      <c r="X258" s="3"/>
      <c r="Y258" s="3"/>
      <c r="Z258" s="3"/>
    </row>
    <row r="259">
      <c r="A259" s="1" t="s">
        <v>147</v>
      </c>
      <c r="U259" s="2"/>
      <c r="V259" s="3"/>
      <c r="W259" s="3"/>
      <c r="X259" s="3"/>
      <c r="Y259" s="3"/>
      <c r="Z259" s="3"/>
    </row>
    <row r="260">
      <c r="A260" s="2"/>
      <c r="B260" s="4"/>
      <c r="C260" s="2"/>
      <c r="D260" s="2"/>
      <c r="E260" s="5"/>
      <c r="F260" s="5"/>
      <c r="G260" s="6"/>
      <c r="H260" s="6"/>
      <c r="I260" s="5"/>
      <c r="J260" s="6"/>
      <c r="K260" s="5"/>
      <c r="L260" s="5"/>
      <c r="M260" s="7"/>
      <c r="N260" s="2"/>
      <c r="O260" s="2"/>
      <c r="P260" s="2"/>
      <c r="Q260" s="2"/>
      <c r="R260" s="2"/>
      <c r="S260" s="2"/>
      <c r="T260" s="2"/>
      <c r="U260" s="2"/>
      <c r="V260" s="3"/>
      <c r="W260" s="3"/>
      <c r="X260" s="3"/>
      <c r="Y260" s="3"/>
      <c r="Z260" s="3"/>
    </row>
    <row r="261">
      <c r="A261" s="8" t="s">
        <v>2</v>
      </c>
      <c r="B261" s="9" t="s">
        <v>3</v>
      </c>
      <c r="C261" s="10"/>
      <c r="D261" s="11"/>
      <c r="E261" s="12" t="s">
        <v>4</v>
      </c>
      <c r="F261" s="10"/>
      <c r="G261" s="10"/>
      <c r="H261" s="10"/>
      <c r="I261" s="10"/>
      <c r="J261" s="10"/>
      <c r="K261" s="10"/>
      <c r="L261" s="10"/>
      <c r="M261" s="10"/>
      <c r="N261" s="11"/>
      <c r="O261" s="13" t="s">
        <v>5</v>
      </c>
      <c r="P261" s="10"/>
      <c r="Q261" s="10"/>
      <c r="R261" s="11"/>
      <c r="S261" s="14" t="s">
        <v>6</v>
      </c>
      <c r="T261" s="14" t="s">
        <v>7</v>
      </c>
      <c r="U261" s="6"/>
      <c r="V261" s="3"/>
      <c r="W261" s="3"/>
      <c r="X261" s="3"/>
      <c r="Y261" s="3"/>
      <c r="Z261" s="3"/>
    </row>
    <row r="262">
      <c r="A262" s="15"/>
      <c r="B262" s="16" t="s">
        <v>8</v>
      </c>
      <c r="C262" s="17" t="s">
        <v>9</v>
      </c>
      <c r="D262" s="14" t="s">
        <v>10</v>
      </c>
      <c r="E262" s="17" t="s">
        <v>11</v>
      </c>
      <c r="F262" s="17" t="s">
        <v>12</v>
      </c>
      <c r="G262" s="17" t="s">
        <v>13</v>
      </c>
      <c r="H262" s="17" t="s">
        <v>14</v>
      </c>
      <c r="I262" s="17" t="s">
        <v>15</v>
      </c>
      <c r="J262" s="17" t="s">
        <v>16</v>
      </c>
      <c r="K262" s="17" t="s">
        <v>17</v>
      </c>
      <c r="L262" s="17" t="s">
        <v>18</v>
      </c>
      <c r="M262" s="18" t="s">
        <v>19</v>
      </c>
      <c r="N262" s="14" t="s">
        <v>20</v>
      </c>
      <c r="O262" s="17" t="s">
        <v>21</v>
      </c>
      <c r="P262" s="17" t="s">
        <v>22</v>
      </c>
      <c r="Q262" s="17" t="s">
        <v>23</v>
      </c>
      <c r="R262" s="14" t="s">
        <v>24</v>
      </c>
      <c r="S262" s="19"/>
      <c r="T262" s="19"/>
      <c r="U262" s="6"/>
      <c r="V262" s="3"/>
      <c r="W262" s="3"/>
      <c r="X262" s="3"/>
      <c r="Y262" s="3"/>
      <c r="Z262" s="3"/>
    </row>
    <row r="263">
      <c r="A263" s="20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6"/>
      <c r="V263" s="3"/>
      <c r="W263" s="3"/>
      <c r="X263" s="3"/>
      <c r="Y263" s="3"/>
      <c r="Z263" s="3"/>
    </row>
    <row r="264">
      <c r="A264" s="21">
        <v>10.0</v>
      </c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6"/>
      <c r="V264" s="3"/>
      <c r="W264" s="3"/>
      <c r="X264" s="3"/>
      <c r="Y264" s="3"/>
      <c r="Z264" s="3"/>
    </row>
    <row r="265">
      <c r="A265" s="23" t="s">
        <v>25</v>
      </c>
      <c r="B265" s="24">
        <f t="shared" ref="B265:B276" si="49">300-U265</f>
        <v>299</v>
      </c>
      <c r="C265" s="25">
        <v>30.0</v>
      </c>
      <c r="D265" s="26">
        <f t="shared" ref="D265:D276" si="50">B265</f>
        <v>299</v>
      </c>
      <c r="E265" s="73">
        <v>1.5</v>
      </c>
      <c r="F265" s="73">
        <v>0.5</v>
      </c>
      <c r="G265" s="29"/>
      <c r="H265" s="29"/>
      <c r="I265" s="28"/>
      <c r="J265" s="29"/>
      <c r="K265" s="73"/>
      <c r="L265" s="27"/>
      <c r="M265" s="73"/>
      <c r="N265" s="26">
        <f t="shared" ref="N265:N276" si="51">SUM(E265:M265)</f>
        <v>2</v>
      </c>
      <c r="O265" s="29"/>
      <c r="P265" s="29"/>
      <c r="Q265" s="83"/>
      <c r="R265" s="31">
        <f t="shared" ref="R265:R276" si="52">SUM(O265:Q265)</f>
        <v>0</v>
      </c>
      <c r="S265" s="32">
        <f t="shared" ref="S265:S276" si="53">D265-N265+R265</f>
        <v>297</v>
      </c>
      <c r="T265" s="33">
        <f t="shared" ref="T265:T276" si="54">RANK(S265,$S$265:$S$276,0)</f>
        <v>9</v>
      </c>
      <c r="U265" s="84">
        <v>1.0</v>
      </c>
      <c r="V265" s="3"/>
      <c r="W265" s="3"/>
      <c r="X265" s="3"/>
      <c r="Y265" s="3"/>
      <c r="Z265" s="3"/>
    </row>
    <row r="266">
      <c r="A266" s="35" t="s">
        <v>26</v>
      </c>
      <c r="B266" s="24">
        <f t="shared" si="49"/>
        <v>299</v>
      </c>
      <c r="C266" s="36">
        <v>30.0</v>
      </c>
      <c r="D266" s="37">
        <f t="shared" si="50"/>
        <v>299</v>
      </c>
      <c r="E266" s="38"/>
      <c r="F266" s="41">
        <v>0.5</v>
      </c>
      <c r="G266" s="46"/>
      <c r="H266" s="40"/>
      <c r="I266" s="39"/>
      <c r="J266" s="40"/>
      <c r="K266" s="41"/>
      <c r="L266" s="38"/>
      <c r="M266" s="41">
        <v>1.0</v>
      </c>
      <c r="N266" s="37">
        <f t="shared" si="51"/>
        <v>1.5</v>
      </c>
      <c r="O266" s="40"/>
      <c r="P266" s="40"/>
      <c r="Q266" s="67"/>
      <c r="R266" s="42">
        <f t="shared" si="52"/>
        <v>0</v>
      </c>
      <c r="S266" s="43">
        <f t="shared" si="53"/>
        <v>297.5</v>
      </c>
      <c r="T266" s="33">
        <f t="shared" si="54"/>
        <v>7</v>
      </c>
      <c r="U266" s="84">
        <v>1.0</v>
      </c>
      <c r="V266" s="3"/>
      <c r="W266" s="3"/>
      <c r="X266" s="3"/>
      <c r="Y266" s="3"/>
      <c r="Z266" s="3"/>
    </row>
    <row r="267">
      <c r="A267" s="35" t="s">
        <v>27</v>
      </c>
      <c r="B267" s="24">
        <f t="shared" si="49"/>
        <v>298</v>
      </c>
      <c r="C267" s="36">
        <v>30.0</v>
      </c>
      <c r="D267" s="37">
        <f t="shared" si="50"/>
        <v>298</v>
      </c>
      <c r="E267" s="41">
        <v>3.0</v>
      </c>
      <c r="F267" s="38"/>
      <c r="G267" s="40"/>
      <c r="H267" s="40"/>
      <c r="I267" s="41"/>
      <c r="J267" s="40"/>
      <c r="K267" s="41"/>
      <c r="L267" s="38"/>
      <c r="M267" s="41">
        <v>0.5</v>
      </c>
      <c r="N267" s="37">
        <f t="shared" si="51"/>
        <v>3.5</v>
      </c>
      <c r="O267" s="40"/>
      <c r="P267" s="40"/>
      <c r="Q267" s="67"/>
      <c r="R267" s="42">
        <f t="shared" si="52"/>
        <v>0</v>
      </c>
      <c r="S267" s="45">
        <f t="shared" si="53"/>
        <v>294.5</v>
      </c>
      <c r="T267" s="33">
        <f t="shared" si="54"/>
        <v>11</v>
      </c>
      <c r="U267" s="84">
        <v>2.0</v>
      </c>
      <c r="V267" s="3"/>
      <c r="W267" s="3"/>
      <c r="X267" s="3"/>
      <c r="Y267" s="3"/>
      <c r="Z267" s="3"/>
    </row>
    <row r="268">
      <c r="A268" s="35" t="s">
        <v>28</v>
      </c>
      <c r="B268" s="24">
        <f t="shared" si="49"/>
        <v>300</v>
      </c>
      <c r="C268" s="36">
        <v>30.0</v>
      </c>
      <c r="D268" s="37">
        <f t="shared" si="50"/>
        <v>300</v>
      </c>
      <c r="E268" s="41"/>
      <c r="F268" s="39"/>
      <c r="G268" s="40"/>
      <c r="H268" s="40"/>
      <c r="I268" s="41"/>
      <c r="J268" s="40"/>
      <c r="K268" s="38"/>
      <c r="L268" s="39"/>
      <c r="M268" s="91"/>
      <c r="N268" s="37">
        <f t="shared" si="51"/>
        <v>0</v>
      </c>
      <c r="O268" s="40"/>
      <c r="P268" s="40"/>
      <c r="Q268" s="67"/>
      <c r="R268" s="42">
        <f t="shared" si="52"/>
        <v>0</v>
      </c>
      <c r="S268" s="45">
        <f t="shared" si="53"/>
        <v>300</v>
      </c>
      <c r="T268" s="33">
        <f t="shared" si="54"/>
        <v>1</v>
      </c>
      <c r="U268" s="1"/>
      <c r="V268" s="3"/>
      <c r="W268" s="3"/>
      <c r="X268" s="3"/>
      <c r="Y268" s="3"/>
      <c r="Z268" s="3"/>
    </row>
    <row r="269">
      <c r="A269" s="35" t="s">
        <v>29</v>
      </c>
      <c r="B269" s="24">
        <f t="shared" si="49"/>
        <v>300</v>
      </c>
      <c r="C269" s="36">
        <v>30.0</v>
      </c>
      <c r="D269" s="37">
        <f t="shared" si="50"/>
        <v>300</v>
      </c>
      <c r="E269" s="41"/>
      <c r="F269" s="41">
        <v>1.5</v>
      </c>
      <c r="G269" s="40"/>
      <c r="H269" s="40"/>
      <c r="I269" s="41"/>
      <c r="J269" s="40"/>
      <c r="K269" s="41"/>
      <c r="L269" s="39"/>
      <c r="M269" s="41"/>
      <c r="N269" s="37">
        <f t="shared" si="51"/>
        <v>1.5</v>
      </c>
      <c r="O269" s="40"/>
      <c r="P269" s="40"/>
      <c r="Q269" s="67"/>
      <c r="R269" s="42">
        <f t="shared" si="52"/>
        <v>0</v>
      </c>
      <c r="S269" s="45">
        <f t="shared" si="53"/>
        <v>298.5</v>
      </c>
      <c r="T269" s="33">
        <f t="shared" si="54"/>
        <v>5</v>
      </c>
      <c r="U269" s="1"/>
      <c r="V269" s="3"/>
      <c r="W269" s="3"/>
      <c r="X269" s="3"/>
      <c r="Y269" s="3"/>
      <c r="Z269" s="3"/>
    </row>
    <row r="270">
      <c r="A270" s="35" t="s">
        <v>30</v>
      </c>
      <c r="B270" s="24">
        <f t="shared" si="49"/>
        <v>300</v>
      </c>
      <c r="C270" s="36">
        <v>30.0</v>
      </c>
      <c r="D270" s="37">
        <f t="shared" si="50"/>
        <v>300</v>
      </c>
      <c r="E270" s="41">
        <v>3.0</v>
      </c>
      <c r="F270" s="41"/>
      <c r="G270" s="46"/>
      <c r="H270" s="40"/>
      <c r="I270" s="41"/>
      <c r="J270" s="40"/>
      <c r="K270" s="38"/>
      <c r="L270" s="38"/>
      <c r="M270" s="41"/>
      <c r="N270" s="37">
        <f t="shared" si="51"/>
        <v>3</v>
      </c>
      <c r="O270" s="40"/>
      <c r="P270" s="40"/>
      <c r="Q270" s="67"/>
      <c r="R270" s="42">
        <f t="shared" si="52"/>
        <v>0</v>
      </c>
      <c r="S270" s="45">
        <f t="shared" si="53"/>
        <v>297</v>
      </c>
      <c r="T270" s="33">
        <f t="shared" si="54"/>
        <v>9</v>
      </c>
      <c r="U270" s="84"/>
      <c r="V270" s="3"/>
      <c r="W270" s="3"/>
      <c r="X270" s="3"/>
      <c r="Y270" s="3"/>
      <c r="Z270" s="3"/>
    </row>
    <row r="271">
      <c r="A271" s="35" t="s">
        <v>31</v>
      </c>
      <c r="B271" s="24">
        <f t="shared" si="49"/>
        <v>300</v>
      </c>
      <c r="C271" s="36">
        <v>30.0</v>
      </c>
      <c r="D271" s="37">
        <f t="shared" si="50"/>
        <v>300</v>
      </c>
      <c r="E271" s="38"/>
      <c r="F271" s="39"/>
      <c r="G271" s="40"/>
      <c r="H271" s="40"/>
      <c r="I271" s="39"/>
      <c r="J271" s="38"/>
      <c r="K271" s="39"/>
      <c r="L271" s="38"/>
      <c r="M271" s="41"/>
      <c r="N271" s="37">
        <f t="shared" si="51"/>
        <v>0</v>
      </c>
      <c r="O271" s="40"/>
      <c r="P271" s="40"/>
      <c r="Q271" s="67"/>
      <c r="R271" s="42">
        <f t="shared" si="52"/>
        <v>0</v>
      </c>
      <c r="S271" s="45">
        <f t="shared" si="53"/>
        <v>300</v>
      </c>
      <c r="T271" s="33">
        <f t="shared" si="54"/>
        <v>1</v>
      </c>
      <c r="U271" s="84"/>
      <c r="V271" s="3"/>
      <c r="W271" s="3"/>
      <c r="X271" s="3"/>
      <c r="Y271" s="3"/>
      <c r="Z271" s="3"/>
    </row>
    <row r="272">
      <c r="A272" s="35" t="s">
        <v>32</v>
      </c>
      <c r="B272" s="24">
        <f t="shared" si="49"/>
        <v>300</v>
      </c>
      <c r="C272" s="36">
        <v>30.0</v>
      </c>
      <c r="D272" s="37">
        <f t="shared" si="50"/>
        <v>300</v>
      </c>
      <c r="E272" s="41"/>
      <c r="F272" s="39"/>
      <c r="G272" s="40"/>
      <c r="H272" s="40"/>
      <c r="I272" s="38"/>
      <c r="J272" s="40"/>
      <c r="K272" s="41"/>
      <c r="L272" s="38"/>
      <c r="M272" s="41"/>
      <c r="N272" s="37">
        <f t="shared" si="51"/>
        <v>0</v>
      </c>
      <c r="O272" s="40"/>
      <c r="P272" s="40"/>
      <c r="Q272" s="67"/>
      <c r="R272" s="42">
        <f t="shared" si="52"/>
        <v>0</v>
      </c>
      <c r="S272" s="47">
        <f t="shared" si="53"/>
        <v>300</v>
      </c>
      <c r="T272" s="33">
        <f t="shared" si="54"/>
        <v>1</v>
      </c>
      <c r="U272" s="1"/>
      <c r="V272" s="3"/>
      <c r="W272" s="3"/>
      <c r="X272" s="3"/>
      <c r="Y272" s="3"/>
      <c r="Z272" s="3"/>
    </row>
    <row r="273">
      <c r="A273" s="35" t="s">
        <v>33</v>
      </c>
      <c r="B273" s="24">
        <f t="shared" si="49"/>
        <v>300</v>
      </c>
      <c r="C273" s="36">
        <v>30.0</v>
      </c>
      <c r="D273" s="37">
        <f t="shared" si="50"/>
        <v>300</v>
      </c>
      <c r="E273" s="41">
        <v>1.5</v>
      </c>
      <c r="F273" s="41"/>
      <c r="G273" s="40"/>
      <c r="H273" s="40"/>
      <c r="I273" s="41"/>
      <c r="J273" s="38"/>
      <c r="K273" s="41"/>
      <c r="L273" s="38"/>
      <c r="M273" s="41">
        <v>0.5</v>
      </c>
      <c r="N273" s="37">
        <f t="shared" si="51"/>
        <v>2</v>
      </c>
      <c r="O273" s="40"/>
      <c r="P273" s="40"/>
      <c r="Q273" s="67"/>
      <c r="R273" s="42">
        <f t="shared" si="52"/>
        <v>0</v>
      </c>
      <c r="S273" s="47">
        <f t="shared" si="53"/>
        <v>298</v>
      </c>
      <c r="T273" s="33">
        <f t="shared" si="54"/>
        <v>6</v>
      </c>
      <c r="U273" s="84"/>
      <c r="V273" s="3"/>
      <c r="W273" s="3"/>
      <c r="X273" s="3"/>
      <c r="Y273" s="3"/>
      <c r="Z273" s="3"/>
    </row>
    <row r="274">
      <c r="A274" s="35" t="s">
        <v>34</v>
      </c>
      <c r="B274" s="24">
        <f t="shared" si="49"/>
        <v>297</v>
      </c>
      <c r="C274" s="36">
        <v>30.0</v>
      </c>
      <c r="D274" s="37">
        <f t="shared" si="50"/>
        <v>297</v>
      </c>
      <c r="E274" s="41">
        <v>3.0</v>
      </c>
      <c r="F274" s="41"/>
      <c r="G274" s="40"/>
      <c r="H274" s="40"/>
      <c r="I274" s="41"/>
      <c r="J274" s="40"/>
      <c r="K274" s="41"/>
      <c r="L274" s="38"/>
      <c r="M274" s="41"/>
      <c r="N274" s="37">
        <f t="shared" si="51"/>
        <v>3</v>
      </c>
      <c r="O274" s="40"/>
      <c r="P274" s="40"/>
      <c r="Q274" s="67"/>
      <c r="R274" s="42">
        <f t="shared" si="52"/>
        <v>0</v>
      </c>
      <c r="S274" s="43">
        <f t="shared" si="53"/>
        <v>294</v>
      </c>
      <c r="T274" s="33">
        <f t="shared" si="54"/>
        <v>12</v>
      </c>
      <c r="U274" s="84">
        <v>3.0</v>
      </c>
      <c r="V274" s="3"/>
      <c r="W274" s="3"/>
      <c r="X274" s="3"/>
      <c r="Y274" s="3"/>
      <c r="Z274" s="3"/>
    </row>
    <row r="275">
      <c r="A275" s="35" t="s">
        <v>35</v>
      </c>
      <c r="B275" s="24">
        <f t="shared" si="49"/>
        <v>300</v>
      </c>
      <c r="C275" s="36">
        <v>30.0</v>
      </c>
      <c r="D275" s="37">
        <f t="shared" si="50"/>
        <v>300</v>
      </c>
      <c r="E275" s="41">
        <v>1.5</v>
      </c>
      <c r="F275" s="41">
        <v>1.0</v>
      </c>
      <c r="G275" s="40"/>
      <c r="H275" s="40"/>
      <c r="I275" s="39"/>
      <c r="J275" s="40"/>
      <c r="K275" s="41"/>
      <c r="L275" s="41"/>
      <c r="M275" s="41"/>
      <c r="N275" s="37">
        <f t="shared" si="51"/>
        <v>2.5</v>
      </c>
      <c r="O275" s="40"/>
      <c r="P275" s="40"/>
      <c r="Q275" s="67"/>
      <c r="R275" s="42">
        <f t="shared" si="52"/>
        <v>0</v>
      </c>
      <c r="S275" s="45">
        <f t="shared" si="53"/>
        <v>297.5</v>
      </c>
      <c r="T275" s="33">
        <f t="shared" si="54"/>
        <v>7</v>
      </c>
      <c r="U275" s="84"/>
      <c r="V275" s="3"/>
      <c r="W275" s="3"/>
      <c r="X275" s="3"/>
      <c r="Y275" s="3"/>
      <c r="Z275" s="3"/>
    </row>
    <row r="276">
      <c r="A276" s="48" t="s">
        <v>36</v>
      </c>
      <c r="B276" s="49">
        <f t="shared" si="49"/>
        <v>300</v>
      </c>
      <c r="C276" s="50">
        <v>30.0</v>
      </c>
      <c r="D276" s="51">
        <f t="shared" si="50"/>
        <v>300</v>
      </c>
      <c r="E276" s="74"/>
      <c r="F276" s="74"/>
      <c r="G276" s="53"/>
      <c r="H276" s="53"/>
      <c r="I276" s="68"/>
      <c r="J276" s="53"/>
      <c r="K276" s="52"/>
      <c r="L276" s="52"/>
      <c r="M276" s="74"/>
      <c r="N276" s="51">
        <f t="shared" si="51"/>
        <v>0</v>
      </c>
      <c r="O276" s="53"/>
      <c r="P276" s="53"/>
      <c r="Q276" s="69"/>
      <c r="R276" s="56">
        <f t="shared" si="52"/>
        <v>0</v>
      </c>
      <c r="S276" s="57">
        <f t="shared" si="53"/>
        <v>300</v>
      </c>
      <c r="T276" s="33">
        <f t="shared" si="54"/>
        <v>1</v>
      </c>
      <c r="U276" s="84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59"/>
      <c r="F277" s="59"/>
      <c r="G277" s="60"/>
      <c r="H277" s="60"/>
      <c r="I277" s="59"/>
      <c r="J277" s="60"/>
      <c r="K277" s="59"/>
      <c r="L277" s="59"/>
      <c r="M277" s="61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62"/>
      <c r="B278" s="63" t="s">
        <v>37</v>
      </c>
      <c r="C278" s="3"/>
      <c r="D278" s="3"/>
      <c r="E278" s="59"/>
      <c r="F278" s="85"/>
      <c r="G278" s="60"/>
      <c r="H278" s="92" t="s">
        <v>148</v>
      </c>
      <c r="I278" s="79"/>
      <c r="J278" s="60"/>
      <c r="K278" s="59"/>
      <c r="L278" s="59"/>
      <c r="M278" s="71"/>
      <c r="N278" s="6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62"/>
      <c r="B279" s="65" t="s">
        <v>149</v>
      </c>
      <c r="C279" s="3"/>
      <c r="D279" s="3"/>
      <c r="E279" s="59"/>
      <c r="F279" s="85"/>
      <c r="G279" s="60"/>
      <c r="H279" s="64"/>
      <c r="I279" s="79"/>
      <c r="J279" s="60"/>
      <c r="K279" s="59"/>
      <c r="L279" s="59"/>
      <c r="M279" s="71"/>
      <c r="N279" s="6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62"/>
      <c r="B280" s="65" t="s">
        <v>150</v>
      </c>
      <c r="C280" s="3"/>
      <c r="D280" s="3"/>
      <c r="E280" s="59"/>
      <c r="F280" s="85"/>
      <c r="G280" s="60"/>
      <c r="H280" s="64"/>
      <c r="I280" s="79"/>
      <c r="J280" s="60"/>
      <c r="K280" s="59"/>
      <c r="L280" s="59"/>
      <c r="M280" s="71"/>
      <c r="N280" s="6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62"/>
      <c r="B281" s="65" t="s">
        <v>151</v>
      </c>
      <c r="C281" s="3"/>
      <c r="D281" s="3"/>
      <c r="E281" s="59"/>
      <c r="F281" s="85"/>
      <c r="G281" s="60"/>
      <c r="H281" s="64"/>
      <c r="I281" s="79"/>
      <c r="J281" s="60"/>
      <c r="K281" s="59"/>
      <c r="L281" s="59"/>
      <c r="M281" s="71"/>
      <c r="N281" s="90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62"/>
      <c r="B282" s="65" t="s">
        <v>152</v>
      </c>
      <c r="C282" s="3"/>
      <c r="D282" s="3"/>
      <c r="E282" s="59"/>
      <c r="F282" s="85"/>
      <c r="G282" s="60"/>
      <c r="H282" s="64"/>
      <c r="I282" s="79"/>
      <c r="J282" s="60"/>
      <c r="K282" s="59"/>
      <c r="L282" s="59"/>
      <c r="M282" s="71"/>
      <c r="N282" s="90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62"/>
      <c r="B283" s="65" t="s">
        <v>153</v>
      </c>
      <c r="C283" s="3"/>
      <c r="D283" s="3"/>
      <c r="E283" s="59"/>
      <c r="F283" s="85"/>
      <c r="G283" s="60"/>
      <c r="H283" s="64"/>
      <c r="I283" s="79"/>
      <c r="J283" s="60"/>
      <c r="K283" s="59"/>
      <c r="L283" s="59"/>
      <c r="M283" s="71"/>
      <c r="N283" s="90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62"/>
      <c r="B284" s="65" t="s">
        <v>154</v>
      </c>
      <c r="C284" s="3"/>
      <c r="D284" s="3"/>
      <c r="E284" s="59"/>
      <c r="F284" s="85"/>
      <c r="G284" s="60"/>
      <c r="H284" s="64"/>
      <c r="I284" s="79"/>
      <c r="J284" s="60"/>
      <c r="K284" s="59"/>
      <c r="L284" s="59"/>
      <c r="M284" s="71"/>
      <c r="N284" s="90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65" t="s">
        <v>155</v>
      </c>
      <c r="C285" s="3"/>
      <c r="D285" s="3"/>
      <c r="E285" s="59"/>
      <c r="F285" s="59"/>
      <c r="G285" s="60"/>
      <c r="H285" s="60"/>
      <c r="I285" s="59"/>
      <c r="J285" s="60"/>
      <c r="K285" s="59"/>
      <c r="L285" s="59"/>
      <c r="M285" s="71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65" t="s">
        <v>156</v>
      </c>
      <c r="C286" s="3"/>
      <c r="D286" s="3"/>
      <c r="E286" s="59"/>
      <c r="F286" s="59"/>
      <c r="G286" s="60"/>
      <c r="H286" s="60"/>
      <c r="I286" s="59"/>
      <c r="J286" s="60"/>
      <c r="K286" s="59"/>
      <c r="L286" s="59"/>
      <c r="M286" s="72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59"/>
      <c r="F287" s="59"/>
      <c r="G287" s="60"/>
      <c r="H287" s="60"/>
      <c r="I287" s="59"/>
      <c r="J287" s="60"/>
      <c r="K287" s="59"/>
      <c r="L287" s="59"/>
      <c r="M287" s="61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59"/>
      <c r="F288" s="59"/>
      <c r="G288" s="60"/>
      <c r="H288" s="60"/>
      <c r="I288" s="59"/>
      <c r="J288" s="60"/>
      <c r="K288" s="59"/>
      <c r="L288" s="59"/>
      <c r="M288" s="61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59"/>
      <c r="F289" s="59"/>
      <c r="G289" s="60"/>
      <c r="H289" s="60"/>
      <c r="I289" s="59"/>
      <c r="J289" s="60"/>
      <c r="K289" s="59"/>
      <c r="L289" s="59"/>
      <c r="M289" s="61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" t="s">
        <v>157</v>
      </c>
      <c r="U290" s="2"/>
      <c r="V290" s="3"/>
      <c r="W290" s="3"/>
      <c r="X290" s="3"/>
      <c r="Y290" s="3"/>
      <c r="Z290" s="3"/>
    </row>
    <row r="291">
      <c r="A291" s="1" t="s">
        <v>158</v>
      </c>
      <c r="U291" s="2"/>
      <c r="V291" s="3"/>
      <c r="W291" s="3"/>
      <c r="X291" s="3"/>
      <c r="Y291" s="3"/>
      <c r="Z291" s="3"/>
    </row>
    <row r="292">
      <c r="A292" s="2"/>
      <c r="B292" s="4"/>
      <c r="C292" s="2"/>
      <c r="D292" s="2"/>
      <c r="E292" s="5"/>
      <c r="F292" s="5"/>
      <c r="G292" s="6"/>
      <c r="H292" s="6"/>
      <c r="I292" s="5"/>
      <c r="J292" s="6"/>
      <c r="K292" s="5"/>
      <c r="L292" s="5"/>
      <c r="M292" s="7"/>
      <c r="N292" s="2"/>
      <c r="O292" s="2"/>
      <c r="P292" s="2"/>
      <c r="Q292" s="2"/>
      <c r="R292" s="2"/>
      <c r="S292" s="2"/>
      <c r="T292" s="2"/>
      <c r="U292" s="2"/>
      <c r="V292" s="3"/>
      <c r="W292" s="3"/>
      <c r="X292" s="3"/>
      <c r="Y292" s="3"/>
      <c r="Z292" s="3"/>
    </row>
    <row r="293">
      <c r="A293" s="8" t="s">
        <v>2</v>
      </c>
      <c r="B293" s="9" t="s">
        <v>3</v>
      </c>
      <c r="C293" s="10"/>
      <c r="D293" s="11"/>
      <c r="E293" s="12" t="s">
        <v>4</v>
      </c>
      <c r="F293" s="10"/>
      <c r="G293" s="10"/>
      <c r="H293" s="10"/>
      <c r="I293" s="10"/>
      <c r="J293" s="10"/>
      <c r="K293" s="10"/>
      <c r="L293" s="10"/>
      <c r="M293" s="10"/>
      <c r="N293" s="11"/>
      <c r="O293" s="13" t="s">
        <v>5</v>
      </c>
      <c r="P293" s="10"/>
      <c r="Q293" s="10"/>
      <c r="R293" s="11"/>
      <c r="S293" s="14" t="s">
        <v>6</v>
      </c>
      <c r="T293" s="14" t="s">
        <v>7</v>
      </c>
      <c r="U293" s="6"/>
      <c r="V293" s="3"/>
      <c r="W293" s="3"/>
      <c r="X293" s="3"/>
      <c r="Y293" s="3"/>
      <c r="Z293" s="3"/>
    </row>
    <row r="294">
      <c r="A294" s="15"/>
      <c r="B294" s="16" t="s">
        <v>8</v>
      </c>
      <c r="C294" s="17" t="s">
        <v>9</v>
      </c>
      <c r="D294" s="14" t="s">
        <v>10</v>
      </c>
      <c r="E294" s="17" t="s">
        <v>11</v>
      </c>
      <c r="F294" s="17" t="s">
        <v>12</v>
      </c>
      <c r="G294" s="17" t="s">
        <v>13</v>
      </c>
      <c r="H294" s="17" t="s">
        <v>14</v>
      </c>
      <c r="I294" s="17" t="s">
        <v>15</v>
      </c>
      <c r="J294" s="17" t="s">
        <v>16</v>
      </c>
      <c r="K294" s="17" t="s">
        <v>17</v>
      </c>
      <c r="L294" s="17" t="s">
        <v>18</v>
      </c>
      <c r="M294" s="18" t="s">
        <v>19</v>
      </c>
      <c r="N294" s="14" t="s">
        <v>20</v>
      </c>
      <c r="O294" s="17" t="s">
        <v>21</v>
      </c>
      <c r="P294" s="17" t="s">
        <v>22</v>
      </c>
      <c r="Q294" s="17" t="s">
        <v>23</v>
      </c>
      <c r="R294" s="14" t="s">
        <v>24</v>
      </c>
      <c r="S294" s="19"/>
      <c r="T294" s="19"/>
      <c r="U294" s="6"/>
      <c r="V294" s="3"/>
      <c r="W294" s="3"/>
      <c r="X294" s="3"/>
      <c r="Y294" s="3"/>
      <c r="Z294" s="3"/>
    </row>
    <row r="295">
      <c r="A295" s="20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6"/>
      <c r="V295" s="3"/>
      <c r="W295" s="3"/>
      <c r="X295" s="3"/>
      <c r="Y295" s="3"/>
      <c r="Z295" s="3"/>
    </row>
    <row r="296">
      <c r="A296" s="21">
        <v>10.0</v>
      </c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6"/>
      <c r="V296" s="3"/>
      <c r="W296" s="3"/>
      <c r="X296" s="3"/>
      <c r="Y296" s="3"/>
      <c r="Z296" s="3"/>
    </row>
    <row r="297">
      <c r="A297" s="23" t="s">
        <v>25</v>
      </c>
      <c r="B297" s="24">
        <f t="shared" ref="B297:B308" si="55">300-U297</f>
        <v>300</v>
      </c>
      <c r="C297" s="25">
        <v>30.0</v>
      </c>
      <c r="D297" s="26">
        <f t="shared" ref="D297:D308" si="56">B297</f>
        <v>300</v>
      </c>
      <c r="E297" s="73">
        <v>1.5</v>
      </c>
      <c r="F297" s="73">
        <v>1.0</v>
      </c>
      <c r="G297" s="29"/>
      <c r="H297" s="29"/>
      <c r="I297" s="73">
        <v>0.5</v>
      </c>
      <c r="J297" s="29"/>
      <c r="K297" s="73">
        <v>0.5</v>
      </c>
      <c r="L297" s="27"/>
      <c r="M297" s="73"/>
      <c r="N297" s="26">
        <f t="shared" ref="N297:N308" si="57">SUM(E297:M297)</f>
        <v>3.5</v>
      </c>
      <c r="O297" s="29"/>
      <c r="P297" s="29"/>
      <c r="Q297" s="83">
        <v>2.0</v>
      </c>
      <c r="R297" s="31">
        <f t="shared" ref="R297:R308" si="58">SUM(O297:Q297)</f>
        <v>2</v>
      </c>
      <c r="S297" s="32">
        <f t="shared" ref="S297:S308" si="59">D297-N297+R297</f>
        <v>298.5</v>
      </c>
      <c r="T297" s="33">
        <f t="shared" ref="T297:T308" si="60">RANK(S297,$S$297:$S$308,0)</f>
        <v>7</v>
      </c>
      <c r="U297" s="84"/>
      <c r="V297" s="3"/>
      <c r="W297" s="3"/>
      <c r="X297" s="3"/>
      <c r="Y297" s="3"/>
      <c r="Z297" s="3"/>
    </row>
    <row r="298">
      <c r="A298" s="35" t="s">
        <v>26</v>
      </c>
      <c r="B298" s="24">
        <f t="shared" si="55"/>
        <v>299</v>
      </c>
      <c r="C298" s="36">
        <v>30.0</v>
      </c>
      <c r="D298" s="37">
        <f t="shared" si="56"/>
        <v>299</v>
      </c>
      <c r="E298" s="41">
        <v>1.5</v>
      </c>
      <c r="F298" s="41"/>
      <c r="G298" s="46"/>
      <c r="H298" s="40"/>
      <c r="I298" s="39"/>
      <c r="J298" s="40"/>
      <c r="K298" s="41"/>
      <c r="L298" s="38"/>
      <c r="M298" s="41"/>
      <c r="N298" s="37">
        <f t="shared" si="57"/>
        <v>1.5</v>
      </c>
      <c r="O298" s="40"/>
      <c r="P298" s="40"/>
      <c r="Q298" s="67">
        <v>2.0</v>
      </c>
      <c r="R298" s="42">
        <f t="shared" si="58"/>
        <v>2</v>
      </c>
      <c r="S298" s="43">
        <f t="shared" si="59"/>
        <v>299.5</v>
      </c>
      <c r="T298" s="33">
        <f t="shared" si="60"/>
        <v>6</v>
      </c>
      <c r="U298" s="84">
        <v>1.0</v>
      </c>
      <c r="V298" s="3"/>
      <c r="W298" s="3"/>
      <c r="X298" s="3"/>
      <c r="Y298" s="3"/>
      <c r="Z298" s="3"/>
    </row>
    <row r="299">
      <c r="A299" s="35" t="s">
        <v>27</v>
      </c>
      <c r="B299" s="24">
        <f t="shared" si="55"/>
        <v>300</v>
      </c>
      <c r="C299" s="36">
        <v>30.0</v>
      </c>
      <c r="D299" s="37">
        <f t="shared" si="56"/>
        <v>300</v>
      </c>
      <c r="E299" s="41">
        <v>1.5</v>
      </c>
      <c r="F299" s="39">
        <v>0.5</v>
      </c>
      <c r="G299" s="40"/>
      <c r="H299" s="40"/>
      <c r="I299" s="41"/>
      <c r="J299" s="40"/>
      <c r="K299" s="41"/>
      <c r="L299" s="38"/>
      <c r="M299" s="41"/>
      <c r="N299" s="37">
        <f t="shared" si="57"/>
        <v>2</v>
      </c>
      <c r="O299" s="40"/>
      <c r="P299" s="40"/>
      <c r="Q299" s="67">
        <v>2.0</v>
      </c>
      <c r="R299" s="42">
        <f t="shared" si="58"/>
        <v>2</v>
      </c>
      <c r="S299" s="45">
        <f t="shared" si="59"/>
        <v>300</v>
      </c>
      <c r="T299" s="33">
        <f t="shared" si="60"/>
        <v>4</v>
      </c>
      <c r="U299" s="84"/>
      <c r="V299" s="3"/>
      <c r="W299" s="3"/>
      <c r="X299" s="3"/>
      <c r="Y299" s="3"/>
      <c r="Z299" s="3"/>
    </row>
    <row r="300">
      <c r="A300" s="35" t="s">
        <v>28</v>
      </c>
      <c r="B300" s="24">
        <f t="shared" si="55"/>
        <v>298</v>
      </c>
      <c r="C300" s="36">
        <v>30.0</v>
      </c>
      <c r="D300" s="37">
        <f t="shared" si="56"/>
        <v>298</v>
      </c>
      <c r="E300" s="41"/>
      <c r="F300" s="39"/>
      <c r="G300" s="40"/>
      <c r="H300" s="40"/>
      <c r="I300" s="41"/>
      <c r="J300" s="40"/>
      <c r="K300" s="41">
        <v>0.5</v>
      </c>
      <c r="L300" s="39"/>
      <c r="M300" s="91"/>
      <c r="N300" s="37">
        <f t="shared" si="57"/>
        <v>0.5</v>
      </c>
      <c r="O300" s="40"/>
      <c r="P300" s="40"/>
      <c r="Q300" s="67"/>
      <c r="R300" s="42">
        <f t="shared" si="58"/>
        <v>0</v>
      </c>
      <c r="S300" s="45">
        <f t="shared" si="59"/>
        <v>297.5</v>
      </c>
      <c r="T300" s="33">
        <f t="shared" si="60"/>
        <v>9</v>
      </c>
      <c r="U300" s="84">
        <v>2.0</v>
      </c>
      <c r="V300" s="3"/>
      <c r="W300" s="3"/>
      <c r="X300" s="3"/>
      <c r="Y300" s="3"/>
      <c r="Z300" s="3"/>
    </row>
    <row r="301">
      <c r="A301" s="35" t="s">
        <v>29</v>
      </c>
      <c r="B301" s="24">
        <f t="shared" si="55"/>
        <v>300</v>
      </c>
      <c r="C301" s="36">
        <v>30.0</v>
      </c>
      <c r="D301" s="37">
        <f t="shared" si="56"/>
        <v>300</v>
      </c>
      <c r="E301" s="41">
        <v>1.5</v>
      </c>
      <c r="F301" s="41">
        <v>0.5</v>
      </c>
      <c r="G301" s="40"/>
      <c r="H301" s="40"/>
      <c r="I301" s="41"/>
      <c r="J301" s="40"/>
      <c r="K301" s="41">
        <v>0.5</v>
      </c>
      <c r="L301" s="39"/>
      <c r="M301" s="41"/>
      <c r="N301" s="37">
        <f t="shared" si="57"/>
        <v>2.5</v>
      </c>
      <c r="O301" s="40"/>
      <c r="P301" s="40"/>
      <c r="Q301" s="67">
        <v>1.0</v>
      </c>
      <c r="R301" s="42">
        <f t="shared" si="58"/>
        <v>1</v>
      </c>
      <c r="S301" s="45">
        <f t="shared" si="59"/>
        <v>298.5</v>
      </c>
      <c r="T301" s="33">
        <f t="shared" si="60"/>
        <v>7</v>
      </c>
      <c r="U301" s="1"/>
      <c r="V301" s="3"/>
      <c r="W301" s="3"/>
      <c r="X301" s="3"/>
      <c r="Y301" s="3"/>
      <c r="Z301" s="3"/>
    </row>
    <row r="302">
      <c r="A302" s="35" t="s">
        <v>30</v>
      </c>
      <c r="B302" s="24">
        <f t="shared" si="55"/>
        <v>300</v>
      </c>
      <c r="C302" s="36">
        <v>30.0</v>
      </c>
      <c r="D302" s="37">
        <f t="shared" si="56"/>
        <v>300</v>
      </c>
      <c r="E302" s="41"/>
      <c r="F302" s="41"/>
      <c r="G302" s="46"/>
      <c r="H302" s="40"/>
      <c r="I302" s="41"/>
      <c r="J302" s="40"/>
      <c r="K302" s="38"/>
      <c r="L302" s="38"/>
      <c r="M302" s="41"/>
      <c r="N302" s="37">
        <f t="shared" si="57"/>
        <v>0</v>
      </c>
      <c r="O302" s="40"/>
      <c r="P302" s="40"/>
      <c r="Q302" s="67">
        <v>2.0</v>
      </c>
      <c r="R302" s="42">
        <f t="shared" si="58"/>
        <v>2</v>
      </c>
      <c r="S302" s="45">
        <f t="shared" si="59"/>
        <v>302</v>
      </c>
      <c r="T302" s="33">
        <f t="shared" si="60"/>
        <v>1</v>
      </c>
      <c r="U302" s="84"/>
      <c r="V302" s="3"/>
      <c r="W302" s="3"/>
      <c r="X302" s="3"/>
      <c r="Y302" s="3"/>
      <c r="Z302" s="3"/>
    </row>
    <row r="303">
      <c r="A303" s="35" t="s">
        <v>31</v>
      </c>
      <c r="B303" s="24">
        <f t="shared" si="55"/>
        <v>299</v>
      </c>
      <c r="C303" s="36">
        <v>30.0</v>
      </c>
      <c r="D303" s="37">
        <f t="shared" si="56"/>
        <v>299</v>
      </c>
      <c r="E303" s="38"/>
      <c r="F303" s="39"/>
      <c r="G303" s="40"/>
      <c r="H303" s="40"/>
      <c r="I303" s="39"/>
      <c r="J303" s="38"/>
      <c r="K303" s="39"/>
      <c r="L303" s="38"/>
      <c r="M303" s="41"/>
      <c r="N303" s="37">
        <f t="shared" si="57"/>
        <v>0</v>
      </c>
      <c r="O303" s="40"/>
      <c r="P303" s="40"/>
      <c r="Q303" s="67">
        <v>1.0</v>
      </c>
      <c r="R303" s="42">
        <f t="shared" si="58"/>
        <v>1</v>
      </c>
      <c r="S303" s="45">
        <f t="shared" si="59"/>
        <v>300</v>
      </c>
      <c r="T303" s="33">
        <f t="shared" si="60"/>
        <v>4</v>
      </c>
      <c r="U303" s="84">
        <v>1.0</v>
      </c>
      <c r="V303" s="3"/>
      <c r="W303" s="3"/>
      <c r="X303" s="3"/>
      <c r="Y303" s="3"/>
      <c r="Z303" s="3"/>
    </row>
    <row r="304">
      <c r="A304" s="35" t="s">
        <v>32</v>
      </c>
      <c r="B304" s="24">
        <f t="shared" si="55"/>
        <v>300</v>
      </c>
      <c r="C304" s="36">
        <v>30.0</v>
      </c>
      <c r="D304" s="37">
        <f t="shared" si="56"/>
        <v>300</v>
      </c>
      <c r="E304" s="41"/>
      <c r="F304" s="39"/>
      <c r="G304" s="40"/>
      <c r="H304" s="40"/>
      <c r="I304" s="38"/>
      <c r="J304" s="40"/>
      <c r="K304" s="41"/>
      <c r="L304" s="38"/>
      <c r="M304" s="41"/>
      <c r="N304" s="37">
        <f t="shared" si="57"/>
        <v>0</v>
      </c>
      <c r="O304" s="40"/>
      <c r="P304" s="40"/>
      <c r="Q304" s="67">
        <v>2.0</v>
      </c>
      <c r="R304" s="42">
        <f t="shared" si="58"/>
        <v>2</v>
      </c>
      <c r="S304" s="47">
        <f t="shared" si="59"/>
        <v>302</v>
      </c>
      <c r="T304" s="33">
        <f t="shared" si="60"/>
        <v>1</v>
      </c>
      <c r="U304" s="1"/>
      <c r="V304" s="3"/>
      <c r="W304" s="3"/>
      <c r="X304" s="3"/>
      <c r="Y304" s="3"/>
      <c r="Z304" s="3"/>
    </row>
    <row r="305">
      <c r="A305" s="35" t="s">
        <v>33</v>
      </c>
      <c r="B305" s="24">
        <f t="shared" si="55"/>
        <v>299</v>
      </c>
      <c r="C305" s="36">
        <v>30.0</v>
      </c>
      <c r="D305" s="37">
        <f t="shared" si="56"/>
        <v>299</v>
      </c>
      <c r="E305" s="41">
        <v>1.5</v>
      </c>
      <c r="F305" s="41">
        <v>1.5</v>
      </c>
      <c r="G305" s="40"/>
      <c r="H305" s="40"/>
      <c r="I305" s="41"/>
      <c r="J305" s="38"/>
      <c r="K305" s="41"/>
      <c r="L305" s="38"/>
      <c r="M305" s="41"/>
      <c r="N305" s="37">
        <f t="shared" si="57"/>
        <v>3</v>
      </c>
      <c r="O305" s="40"/>
      <c r="P305" s="40"/>
      <c r="Q305" s="67"/>
      <c r="R305" s="42">
        <f t="shared" si="58"/>
        <v>0</v>
      </c>
      <c r="S305" s="47">
        <f t="shared" si="59"/>
        <v>296</v>
      </c>
      <c r="T305" s="33">
        <f t="shared" si="60"/>
        <v>10</v>
      </c>
      <c r="U305" s="84">
        <v>1.0</v>
      </c>
      <c r="V305" s="3"/>
      <c r="W305" s="3"/>
      <c r="X305" s="3"/>
      <c r="Y305" s="3"/>
      <c r="Z305" s="3"/>
    </row>
    <row r="306">
      <c r="A306" s="35" t="s">
        <v>34</v>
      </c>
      <c r="B306" s="24">
        <f t="shared" si="55"/>
        <v>300</v>
      </c>
      <c r="C306" s="36">
        <v>30.0</v>
      </c>
      <c r="D306" s="37">
        <f t="shared" si="56"/>
        <v>300</v>
      </c>
      <c r="E306" s="41">
        <v>6.0</v>
      </c>
      <c r="F306" s="41"/>
      <c r="G306" s="40"/>
      <c r="H306" s="40"/>
      <c r="I306" s="41"/>
      <c r="J306" s="40"/>
      <c r="K306" s="41"/>
      <c r="L306" s="38"/>
      <c r="M306" s="41"/>
      <c r="N306" s="37">
        <f t="shared" si="57"/>
        <v>6</v>
      </c>
      <c r="O306" s="40"/>
      <c r="P306" s="40"/>
      <c r="Q306" s="67"/>
      <c r="R306" s="42">
        <f t="shared" si="58"/>
        <v>0</v>
      </c>
      <c r="S306" s="43">
        <f t="shared" si="59"/>
        <v>294</v>
      </c>
      <c r="T306" s="33">
        <f t="shared" si="60"/>
        <v>12</v>
      </c>
      <c r="U306" s="84"/>
      <c r="V306" s="3"/>
      <c r="W306" s="3"/>
      <c r="X306" s="3"/>
      <c r="Y306" s="3"/>
      <c r="Z306" s="3"/>
    </row>
    <row r="307">
      <c r="A307" s="35" t="s">
        <v>35</v>
      </c>
      <c r="B307" s="24">
        <f t="shared" si="55"/>
        <v>300</v>
      </c>
      <c r="C307" s="36">
        <v>30.0</v>
      </c>
      <c r="D307" s="37">
        <f t="shared" si="56"/>
        <v>300</v>
      </c>
      <c r="E307" s="41">
        <v>4.5</v>
      </c>
      <c r="F307" s="41">
        <v>0.5</v>
      </c>
      <c r="G307" s="40"/>
      <c r="H307" s="40"/>
      <c r="I307" s="39"/>
      <c r="J307" s="40"/>
      <c r="K307" s="41"/>
      <c r="L307" s="41"/>
      <c r="M307" s="41"/>
      <c r="N307" s="37">
        <f t="shared" si="57"/>
        <v>5</v>
      </c>
      <c r="O307" s="40"/>
      <c r="P307" s="40"/>
      <c r="Q307" s="67"/>
      <c r="R307" s="42">
        <f t="shared" si="58"/>
        <v>0</v>
      </c>
      <c r="S307" s="45">
        <f t="shared" si="59"/>
        <v>295</v>
      </c>
      <c r="T307" s="33">
        <f t="shared" si="60"/>
        <v>11</v>
      </c>
      <c r="U307" s="84"/>
      <c r="V307" s="3"/>
      <c r="W307" s="3"/>
      <c r="X307" s="3"/>
      <c r="Y307" s="3"/>
      <c r="Z307" s="3"/>
    </row>
    <row r="308">
      <c r="A308" s="48" t="s">
        <v>36</v>
      </c>
      <c r="B308" s="49">
        <f t="shared" si="55"/>
        <v>300</v>
      </c>
      <c r="C308" s="50">
        <v>30.0</v>
      </c>
      <c r="D308" s="51">
        <f t="shared" si="56"/>
        <v>300</v>
      </c>
      <c r="E308" s="74"/>
      <c r="F308" s="74">
        <v>0.5</v>
      </c>
      <c r="G308" s="53"/>
      <c r="H308" s="53"/>
      <c r="I308" s="68"/>
      <c r="J308" s="53"/>
      <c r="K308" s="52"/>
      <c r="L308" s="52"/>
      <c r="M308" s="74"/>
      <c r="N308" s="51">
        <f t="shared" si="57"/>
        <v>0.5</v>
      </c>
      <c r="O308" s="53"/>
      <c r="P308" s="53"/>
      <c r="Q308" s="69">
        <v>2.0</v>
      </c>
      <c r="R308" s="56">
        <f t="shared" si="58"/>
        <v>2</v>
      </c>
      <c r="S308" s="57">
        <f t="shared" si="59"/>
        <v>301.5</v>
      </c>
      <c r="T308" s="33">
        <f t="shared" si="60"/>
        <v>3</v>
      </c>
      <c r="U308" s="84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59"/>
      <c r="F309" s="59"/>
      <c r="G309" s="60"/>
      <c r="H309" s="60"/>
      <c r="I309" s="59"/>
      <c r="J309" s="60"/>
      <c r="K309" s="59"/>
      <c r="L309" s="59"/>
      <c r="M309" s="61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62"/>
      <c r="B310" s="63" t="s">
        <v>37</v>
      </c>
      <c r="C310" s="3"/>
      <c r="D310" s="3"/>
      <c r="E310" s="59"/>
      <c r="F310" s="85"/>
      <c r="G310" s="60"/>
      <c r="H310" s="92"/>
      <c r="I310" s="79"/>
      <c r="J310" s="60"/>
      <c r="K310" s="59"/>
      <c r="L310" s="59"/>
      <c r="M310" s="71"/>
      <c r="N310" s="6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62"/>
      <c r="B311" s="65" t="s">
        <v>159</v>
      </c>
      <c r="C311" s="3"/>
      <c r="D311" s="3"/>
      <c r="E311" s="59"/>
      <c r="F311" s="85"/>
      <c r="G311" s="60"/>
      <c r="H311" s="64"/>
      <c r="I311" s="79"/>
      <c r="J311" s="60"/>
      <c r="K311" s="59"/>
      <c r="L311" s="59"/>
      <c r="M311" s="71"/>
      <c r="N311" s="62" t="s">
        <v>160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62"/>
      <c r="B312" s="65" t="s">
        <v>161</v>
      </c>
      <c r="C312" s="3"/>
      <c r="D312" s="3"/>
      <c r="E312" s="59"/>
      <c r="F312" s="85"/>
      <c r="G312" s="60"/>
      <c r="H312" s="64"/>
      <c r="I312" s="79"/>
      <c r="J312" s="60"/>
      <c r="K312" s="59"/>
      <c r="L312" s="59"/>
      <c r="M312" s="71"/>
      <c r="N312" s="76" t="s">
        <v>162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62"/>
      <c r="B313" s="65" t="s">
        <v>163</v>
      </c>
      <c r="C313" s="3"/>
      <c r="D313" s="3"/>
      <c r="E313" s="59"/>
      <c r="F313" s="85"/>
      <c r="G313" s="60"/>
      <c r="H313" s="64"/>
      <c r="I313" s="79"/>
      <c r="J313" s="60"/>
      <c r="K313" s="59"/>
      <c r="L313" s="59"/>
      <c r="M313" s="71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62"/>
      <c r="B314" s="65" t="s">
        <v>164</v>
      </c>
      <c r="C314" s="3"/>
      <c r="D314" s="3"/>
      <c r="E314" s="59"/>
      <c r="F314" s="85"/>
      <c r="G314" s="60"/>
      <c r="H314" s="64"/>
      <c r="I314" s="79"/>
      <c r="J314" s="60"/>
      <c r="K314" s="59"/>
      <c r="L314" s="59"/>
      <c r="M314" s="71"/>
      <c r="N314" s="62" t="s">
        <v>165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62"/>
      <c r="B315" s="65" t="s">
        <v>166</v>
      </c>
      <c r="C315" s="3"/>
      <c r="D315" s="3"/>
      <c r="E315" s="59"/>
      <c r="F315" s="85"/>
      <c r="G315" s="60"/>
      <c r="H315" s="64"/>
      <c r="I315" s="79"/>
      <c r="J315" s="60"/>
      <c r="K315" s="59"/>
      <c r="L315" s="59"/>
      <c r="M315" s="71"/>
      <c r="N315" s="76" t="s">
        <v>167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62"/>
      <c r="B316" s="65" t="s">
        <v>168</v>
      </c>
      <c r="C316" s="3"/>
      <c r="D316" s="3"/>
      <c r="E316" s="59"/>
      <c r="F316" s="85"/>
      <c r="G316" s="60"/>
      <c r="H316" s="64"/>
      <c r="I316" s="79"/>
      <c r="J316" s="60"/>
      <c r="K316" s="59"/>
      <c r="L316" s="59"/>
      <c r="M316" s="71"/>
      <c r="N316" s="90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65" t="s">
        <v>169</v>
      </c>
      <c r="C317" s="3"/>
      <c r="D317" s="3"/>
      <c r="E317" s="59"/>
      <c r="F317" s="59"/>
      <c r="G317" s="60"/>
      <c r="H317" s="60"/>
      <c r="I317" s="59"/>
      <c r="J317" s="60"/>
      <c r="K317" s="59"/>
      <c r="L317" s="59"/>
      <c r="M317" s="71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65" t="s">
        <v>170</v>
      </c>
      <c r="C318" s="3"/>
      <c r="D318" s="3"/>
      <c r="E318" s="59"/>
      <c r="F318" s="59"/>
      <c r="G318" s="60"/>
      <c r="H318" s="60"/>
      <c r="I318" s="59"/>
      <c r="J318" s="60"/>
      <c r="K318" s="59"/>
      <c r="L318" s="59"/>
      <c r="M318" s="72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65" t="s">
        <v>171</v>
      </c>
      <c r="C319" s="3"/>
      <c r="D319" s="3"/>
      <c r="E319" s="59"/>
      <c r="F319" s="59"/>
      <c r="G319" s="60"/>
      <c r="H319" s="60"/>
      <c r="I319" s="59"/>
      <c r="J319" s="60"/>
      <c r="K319" s="59"/>
      <c r="L319" s="59"/>
      <c r="M319" s="61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59"/>
      <c r="F320" s="59"/>
      <c r="G320" s="60"/>
      <c r="H320" s="60"/>
      <c r="I320" s="59"/>
      <c r="J320" s="60"/>
      <c r="K320" s="59"/>
      <c r="L320" s="59"/>
      <c r="M320" s="61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59"/>
      <c r="F321" s="59"/>
      <c r="G321" s="60"/>
      <c r="H321" s="60"/>
      <c r="I321" s="59"/>
      <c r="J321" s="60"/>
      <c r="K321" s="59"/>
      <c r="L321" s="59"/>
      <c r="M321" s="61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59"/>
      <c r="F322" s="59"/>
      <c r="G322" s="60"/>
      <c r="H322" s="60"/>
      <c r="I322" s="59"/>
      <c r="J322" s="60"/>
      <c r="K322" s="59"/>
      <c r="L322" s="59"/>
      <c r="M322" s="61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" t="s">
        <v>172</v>
      </c>
      <c r="U323" s="2"/>
      <c r="V323" s="3"/>
      <c r="W323" s="3"/>
      <c r="X323" s="3"/>
      <c r="Y323" s="3"/>
      <c r="Z323" s="3"/>
    </row>
    <row r="324">
      <c r="A324" s="1" t="s">
        <v>173</v>
      </c>
      <c r="U324" s="2"/>
      <c r="V324" s="3"/>
      <c r="W324" s="3"/>
      <c r="X324" s="3"/>
      <c r="Y324" s="3"/>
      <c r="Z324" s="3"/>
    </row>
    <row r="325">
      <c r="A325" s="2"/>
      <c r="B325" s="4"/>
      <c r="C325" s="2"/>
      <c r="D325" s="2"/>
      <c r="E325" s="5"/>
      <c r="F325" s="5"/>
      <c r="G325" s="6"/>
      <c r="H325" s="6"/>
      <c r="I325" s="5"/>
      <c r="J325" s="6"/>
      <c r="K325" s="5"/>
      <c r="L325" s="5"/>
      <c r="M325" s="7"/>
      <c r="N325" s="2"/>
      <c r="O325" s="2"/>
      <c r="P325" s="2"/>
      <c r="Q325" s="2"/>
      <c r="R325" s="2"/>
      <c r="S325" s="2"/>
      <c r="T325" s="2"/>
      <c r="U325" s="2"/>
      <c r="V325" s="3"/>
      <c r="W325" s="3"/>
      <c r="X325" s="3"/>
      <c r="Y325" s="3"/>
      <c r="Z325" s="3"/>
    </row>
    <row r="326">
      <c r="A326" s="8" t="s">
        <v>2</v>
      </c>
      <c r="B326" s="9" t="s">
        <v>3</v>
      </c>
      <c r="C326" s="10"/>
      <c r="D326" s="11"/>
      <c r="E326" s="12" t="s">
        <v>4</v>
      </c>
      <c r="F326" s="10"/>
      <c r="G326" s="10"/>
      <c r="H326" s="10"/>
      <c r="I326" s="10"/>
      <c r="J326" s="10"/>
      <c r="K326" s="10"/>
      <c r="L326" s="10"/>
      <c r="M326" s="10"/>
      <c r="N326" s="11"/>
      <c r="O326" s="13" t="s">
        <v>5</v>
      </c>
      <c r="P326" s="10"/>
      <c r="Q326" s="10"/>
      <c r="R326" s="11"/>
      <c r="S326" s="14" t="s">
        <v>6</v>
      </c>
      <c r="T326" s="14" t="s">
        <v>7</v>
      </c>
      <c r="U326" s="6"/>
      <c r="V326" s="3"/>
      <c r="W326" s="3"/>
      <c r="X326" s="3"/>
      <c r="Y326" s="3"/>
      <c r="Z326" s="3"/>
    </row>
    <row r="327">
      <c r="A327" s="15"/>
      <c r="B327" s="16" t="s">
        <v>8</v>
      </c>
      <c r="C327" s="17" t="s">
        <v>9</v>
      </c>
      <c r="D327" s="14" t="s">
        <v>10</v>
      </c>
      <c r="E327" s="17" t="s">
        <v>11</v>
      </c>
      <c r="F327" s="17" t="s">
        <v>12</v>
      </c>
      <c r="G327" s="17" t="s">
        <v>13</v>
      </c>
      <c r="H327" s="17" t="s">
        <v>14</v>
      </c>
      <c r="I327" s="17" t="s">
        <v>15</v>
      </c>
      <c r="J327" s="17" t="s">
        <v>16</v>
      </c>
      <c r="K327" s="17" t="s">
        <v>17</v>
      </c>
      <c r="L327" s="17" t="s">
        <v>18</v>
      </c>
      <c r="M327" s="18" t="s">
        <v>19</v>
      </c>
      <c r="N327" s="14" t="s">
        <v>20</v>
      </c>
      <c r="O327" s="17" t="s">
        <v>21</v>
      </c>
      <c r="P327" s="17" t="s">
        <v>22</v>
      </c>
      <c r="Q327" s="17" t="s">
        <v>23</v>
      </c>
      <c r="R327" s="14" t="s">
        <v>24</v>
      </c>
      <c r="S327" s="19"/>
      <c r="T327" s="19"/>
      <c r="U327" s="6"/>
      <c r="V327" s="3"/>
      <c r="W327" s="3"/>
      <c r="X327" s="3"/>
      <c r="Y327" s="3"/>
      <c r="Z327" s="3"/>
    </row>
    <row r="328">
      <c r="A328" s="20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6"/>
      <c r="V328" s="3"/>
      <c r="W328" s="3"/>
      <c r="X328" s="3"/>
      <c r="Y328" s="3"/>
      <c r="Z328" s="3"/>
    </row>
    <row r="329">
      <c r="A329" s="21">
        <v>10.0</v>
      </c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6"/>
      <c r="V329" s="3"/>
      <c r="W329" s="3"/>
      <c r="X329" s="3"/>
      <c r="Y329" s="3"/>
      <c r="Z329" s="3"/>
    </row>
    <row r="330">
      <c r="A330" s="23" t="s">
        <v>25</v>
      </c>
      <c r="B330" s="24">
        <f t="shared" ref="B330:B341" si="61">300-U330</f>
        <v>300</v>
      </c>
      <c r="C330" s="25">
        <v>30.0</v>
      </c>
      <c r="D330" s="26">
        <f t="shared" ref="D330:D341" si="62">B330</f>
        <v>300</v>
      </c>
      <c r="E330" s="73"/>
      <c r="F330" s="73"/>
      <c r="G330" s="29"/>
      <c r="H330" s="29"/>
      <c r="I330" s="73"/>
      <c r="J330" s="29"/>
      <c r="K330" s="73"/>
      <c r="L330" s="27"/>
      <c r="M330" s="73"/>
      <c r="N330" s="26">
        <f t="shared" ref="N330:N341" si="63">SUM(E330:M330)</f>
        <v>0</v>
      </c>
      <c r="O330" s="29"/>
      <c r="P330" s="29"/>
      <c r="Q330" s="83">
        <v>1.5</v>
      </c>
      <c r="R330" s="31">
        <f t="shared" ref="R330:R341" si="64">SUM(O330:Q330)</f>
        <v>1.5</v>
      </c>
      <c r="S330" s="32">
        <f t="shared" ref="S330:S341" si="65">D330-N330+R330</f>
        <v>301.5</v>
      </c>
      <c r="T330" s="33">
        <f t="shared" ref="T330:T341" si="66">RANK(S330,$S$330:$S$341,0)</f>
        <v>6</v>
      </c>
      <c r="U330" s="84"/>
      <c r="V330" s="3"/>
      <c r="W330" s="3"/>
      <c r="X330" s="3"/>
      <c r="Y330" s="3"/>
      <c r="Z330" s="3"/>
    </row>
    <row r="331">
      <c r="A331" s="35" t="s">
        <v>26</v>
      </c>
      <c r="B331" s="24">
        <f t="shared" si="61"/>
        <v>300</v>
      </c>
      <c r="C331" s="36">
        <v>30.0</v>
      </c>
      <c r="D331" s="37">
        <f t="shared" si="62"/>
        <v>300</v>
      </c>
      <c r="E331" s="41"/>
      <c r="F331" s="41">
        <v>0.5</v>
      </c>
      <c r="G331" s="46"/>
      <c r="H331" s="40"/>
      <c r="I331" s="39"/>
      <c r="J331" s="40"/>
      <c r="K331" s="41"/>
      <c r="L331" s="38"/>
      <c r="M331" s="41"/>
      <c r="N331" s="37">
        <f t="shared" si="63"/>
        <v>0.5</v>
      </c>
      <c r="O331" s="40"/>
      <c r="P331" s="40"/>
      <c r="Q331" s="67">
        <v>3.5</v>
      </c>
      <c r="R331" s="42">
        <f t="shared" si="64"/>
        <v>3.5</v>
      </c>
      <c r="S331" s="43">
        <f t="shared" si="65"/>
        <v>303</v>
      </c>
      <c r="T331" s="33">
        <f t="shared" si="66"/>
        <v>2</v>
      </c>
      <c r="U331" s="84"/>
      <c r="V331" s="3"/>
      <c r="W331" s="3"/>
      <c r="X331" s="3"/>
      <c r="Y331" s="3"/>
      <c r="Z331" s="3"/>
    </row>
    <row r="332">
      <c r="A332" s="35" t="s">
        <v>27</v>
      </c>
      <c r="B332" s="24">
        <f t="shared" si="61"/>
        <v>299</v>
      </c>
      <c r="C332" s="36">
        <v>30.0</v>
      </c>
      <c r="D332" s="37">
        <f t="shared" si="62"/>
        <v>299</v>
      </c>
      <c r="E332" s="41"/>
      <c r="F332" s="39"/>
      <c r="G332" s="40"/>
      <c r="H332" s="40"/>
      <c r="I332" s="41"/>
      <c r="J332" s="40"/>
      <c r="K332" s="41"/>
      <c r="L332" s="38"/>
      <c r="M332" s="41"/>
      <c r="N332" s="37">
        <f t="shared" si="63"/>
        <v>0</v>
      </c>
      <c r="O332" s="40"/>
      <c r="P332" s="40"/>
      <c r="Q332" s="67">
        <v>3.5</v>
      </c>
      <c r="R332" s="42">
        <f t="shared" si="64"/>
        <v>3.5</v>
      </c>
      <c r="S332" s="45">
        <f t="shared" si="65"/>
        <v>302.5</v>
      </c>
      <c r="T332" s="33">
        <f t="shared" si="66"/>
        <v>3</v>
      </c>
      <c r="U332" s="84">
        <v>1.0</v>
      </c>
      <c r="V332" s="3"/>
      <c r="W332" s="3"/>
      <c r="X332" s="3"/>
      <c r="Y332" s="3"/>
      <c r="Z332" s="3"/>
    </row>
    <row r="333">
      <c r="A333" s="35" t="s">
        <v>28</v>
      </c>
      <c r="B333" s="24">
        <f t="shared" si="61"/>
        <v>299</v>
      </c>
      <c r="C333" s="36">
        <v>30.0</v>
      </c>
      <c r="D333" s="37">
        <f t="shared" si="62"/>
        <v>299</v>
      </c>
      <c r="E333" s="41"/>
      <c r="F333" s="41">
        <v>0.5</v>
      </c>
      <c r="G333" s="40"/>
      <c r="H333" s="40"/>
      <c r="I333" s="41"/>
      <c r="J333" s="40"/>
      <c r="K333" s="41"/>
      <c r="L333" s="39"/>
      <c r="M333" s="93">
        <v>0.5</v>
      </c>
      <c r="N333" s="37">
        <f t="shared" si="63"/>
        <v>1</v>
      </c>
      <c r="O333" s="40"/>
      <c r="P333" s="40"/>
      <c r="Q333" s="67">
        <v>1.5</v>
      </c>
      <c r="R333" s="42">
        <f t="shared" si="64"/>
        <v>1.5</v>
      </c>
      <c r="S333" s="45">
        <f t="shared" si="65"/>
        <v>299.5</v>
      </c>
      <c r="T333" s="33">
        <f t="shared" si="66"/>
        <v>9</v>
      </c>
      <c r="U333" s="84">
        <v>1.0</v>
      </c>
      <c r="V333" s="3"/>
      <c r="W333" s="3"/>
      <c r="X333" s="3"/>
      <c r="Y333" s="3"/>
      <c r="Z333" s="3"/>
    </row>
    <row r="334">
      <c r="A334" s="35" t="s">
        <v>29</v>
      </c>
      <c r="B334" s="24">
        <f t="shared" si="61"/>
        <v>299</v>
      </c>
      <c r="C334" s="36">
        <v>30.0</v>
      </c>
      <c r="D334" s="37">
        <f t="shared" si="62"/>
        <v>299</v>
      </c>
      <c r="E334" s="41"/>
      <c r="F334" s="41">
        <v>0.5</v>
      </c>
      <c r="G334" s="40"/>
      <c r="H334" s="40"/>
      <c r="I334" s="41">
        <v>0.5</v>
      </c>
      <c r="J334" s="40"/>
      <c r="K334" s="41"/>
      <c r="L334" s="39"/>
      <c r="M334" s="41"/>
      <c r="N334" s="37">
        <f t="shared" si="63"/>
        <v>1</v>
      </c>
      <c r="O334" s="40"/>
      <c r="P334" s="40"/>
      <c r="Q334" s="67">
        <v>1.5</v>
      </c>
      <c r="R334" s="42">
        <f t="shared" si="64"/>
        <v>1.5</v>
      </c>
      <c r="S334" s="45">
        <f t="shared" si="65"/>
        <v>299.5</v>
      </c>
      <c r="T334" s="33">
        <f t="shared" si="66"/>
        <v>9</v>
      </c>
      <c r="U334" s="84">
        <v>1.0</v>
      </c>
      <c r="V334" s="3"/>
      <c r="W334" s="3"/>
      <c r="X334" s="3"/>
      <c r="Y334" s="3"/>
      <c r="Z334" s="3"/>
    </row>
    <row r="335">
      <c r="A335" s="35" t="s">
        <v>30</v>
      </c>
      <c r="B335" s="24">
        <f t="shared" si="61"/>
        <v>299</v>
      </c>
      <c r="C335" s="36">
        <v>30.0</v>
      </c>
      <c r="D335" s="37">
        <f t="shared" si="62"/>
        <v>299</v>
      </c>
      <c r="E335" s="41"/>
      <c r="F335" s="41">
        <v>0.5</v>
      </c>
      <c r="G335" s="46"/>
      <c r="H335" s="40"/>
      <c r="I335" s="41"/>
      <c r="J335" s="40"/>
      <c r="K335" s="41">
        <v>0.5</v>
      </c>
      <c r="L335" s="38"/>
      <c r="M335" s="41"/>
      <c r="N335" s="37">
        <f t="shared" si="63"/>
        <v>1</v>
      </c>
      <c r="O335" s="40"/>
      <c r="P335" s="40"/>
      <c r="Q335" s="67">
        <v>2.5</v>
      </c>
      <c r="R335" s="42">
        <f t="shared" si="64"/>
        <v>2.5</v>
      </c>
      <c r="S335" s="45">
        <f t="shared" si="65"/>
        <v>300.5</v>
      </c>
      <c r="T335" s="33">
        <f t="shared" si="66"/>
        <v>8</v>
      </c>
      <c r="U335" s="84">
        <v>1.0</v>
      </c>
      <c r="V335" s="3"/>
      <c r="W335" s="3"/>
      <c r="X335" s="3"/>
      <c r="Y335" s="3"/>
      <c r="Z335" s="3"/>
    </row>
    <row r="336">
      <c r="A336" s="35" t="s">
        <v>31</v>
      </c>
      <c r="B336" s="24">
        <f t="shared" si="61"/>
        <v>300</v>
      </c>
      <c r="C336" s="36">
        <v>30.0</v>
      </c>
      <c r="D336" s="37">
        <f t="shared" si="62"/>
        <v>300</v>
      </c>
      <c r="E336" s="38"/>
      <c r="F336" s="39"/>
      <c r="G336" s="40"/>
      <c r="H336" s="40"/>
      <c r="I336" s="39"/>
      <c r="J336" s="38"/>
      <c r="K336" s="39"/>
      <c r="L336" s="38"/>
      <c r="M336" s="41"/>
      <c r="N336" s="37">
        <f t="shared" si="63"/>
        <v>0</v>
      </c>
      <c r="O336" s="40"/>
      <c r="P336" s="40"/>
      <c r="Q336" s="67">
        <v>1.5</v>
      </c>
      <c r="R336" s="42">
        <f t="shared" si="64"/>
        <v>1.5</v>
      </c>
      <c r="S336" s="45">
        <f t="shared" si="65"/>
        <v>301.5</v>
      </c>
      <c r="T336" s="33">
        <f t="shared" si="66"/>
        <v>6</v>
      </c>
      <c r="U336" s="84"/>
      <c r="V336" s="3"/>
      <c r="W336" s="3"/>
      <c r="X336" s="3"/>
      <c r="Y336" s="3"/>
      <c r="Z336" s="3"/>
    </row>
    <row r="337">
      <c r="A337" s="35" t="s">
        <v>32</v>
      </c>
      <c r="B337" s="24">
        <f t="shared" si="61"/>
        <v>300</v>
      </c>
      <c r="C337" s="36">
        <v>30.0</v>
      </c>
      <c r="D337" s="37">
        <f t="shared" si="62"/>
        <v>300</v>
      </c>
      <c r="E337" s="41"/>
      <c r="F337" s="39"/>
      <c r="G337" s="40"/>
      <c r="H337" s="40"/>
      <c r="I337" s="38"/>
      <c r="J337" s="40"/>
      <c r="K337" s="41"/>
      <c r="L337" s="38"/>
      <c r="M337" s="41"/>
      <c r="N337" s="37">
        <f t="shared" si="63"/>
        <v>0</v>
      </c>
      <c r="O337" s="40"/>
      <c r="P337" s="40"/>
      <c r="Q337" s="67">
        <v>4.0</v>
      </c>
      <c r="R337" s="42">
        <f t="shared" si="64"/>
        <v>4</v>
      </c>
      <c r="S337" s="47">
        <f t="shared" si="65"/>
        <v>304</v>
      </c>
      <c r="T337" s="33">
        <f t="shared" si="66"/>
        <v>1</v>
      </c>
      <c r="U337" s="1"/>
      <c r="V337" s="3"/>
      <c r="W337" s="3"/>
      <c r="X337" s="3"/>
      <c r="Y337" s="3"/>
      <c r="Z337" s="3"/>
    </row>
    <row r="338">
      <c r="A338" s="35" t="s">
        <v>33</v>
      </c>
      <c r="B338" s="24">
        <f t="shared" si="61"/>
        <v>300</v>
      </c>
      <c r="C338" s="36">
        <v>30.0</v>
      </c>
      <c r="D338" s="37">
        <f t="shared" si="62"/>
        <v>300</v>
      </c>
      <c r="E338" s="41"/>
      <c r="F338" s="41">
        <v>2.0</v>
      </c>
      <c r="G338" s="40"/>
      <c r="H338" s="40"/>
      <c r="I338" s="41"/>
      <c r="J338" s="38"/>
      <c r="K338" s="41"/>
      <c r="L338" s="38"/>
      <c r="M338" s="41"/>
      <c r="N338" s="37">
        <f t="shared" si="63"/>
        <v>2</v>
      </c>
      <c r="O338" s="40"/>
      <c r="P338" s="40"/>
      <c r="Q338" s="67">
        <v>1.5</v>
      </c>
      <c r="R338" s="42">
        <f t="shared" si="64"/>
        <v>1.5</v>
      </c>
      <c r="S338" s="47">
        <f t="shared" si="65"/>
        <v>299.5</v>
      </c>
      <c r="T338" s="33">
        <f t="shared" si="66"/>
        <v>9</v>
      </c>
      <c r="U338" s="84"/>
      <c r="V338" s="3"/>
      <c r="W338" s="3"/>
      <c r="X338" s="3"/>
      <c r="Y338" s="3"/>
      <c r="Z338" s="3"/>
    </row>
    <row r="339">
      <c r="A339" s="35" t="s">
        <v>34</v>
      </c>
      <c r="B339" s="24">
        <f t="shared" si="61"/>
        <v>300</v>
      </c>
      <c r="C339" s="36">
        <v>30.0</v>
      </c>
      <c r="D339" s="37">
        <f t="shared" si="62"/>
        <v>300</v>
      </c>
      <c r="E339" s="41"/>
      <c r="F339" s="41"/>
      <c r="G339" s="40"/>
      <c r="H339" s="40"/>
      <c r="I339" s="41"/>
      <c r="J339" s="40"/>
      <c r="K339" s="41"/>
      <c r="L339" s="38"/>
      <c r="M339" s="41"/>
      <c r="N339" s="37">
        <f t="shared" si="63"/>
        <v>0</v>
      </c>
      <c r="O339" s="40"/>
      <c r="P339" s="40"/>
      <c r="Q339" s="67">
        <v>2.5</v>
      </c>
      <c r="R339" s="42">
        <f t="shared" si="64"/>
        <v>2.5</v>
      </c>
      <c r="S339" s="43">
        <f t="shared" si="65"/>
        <v>302.5</v>
      </c>
      <c r="T339" s="33">
        <f t="shared" si="66"/>
        <v>3</v>
      </c>
      <c r="U339" s="84"/>
      <c r="V339" s="3"/>
      <c r="W339" s="3"/>
      <c r="X339" s="3"/>
      <c r="Y339" s="3"/>
      <c r="Z339" s="3"/>
    </row>
    <row r="340">
      <c r="A340" s="35" t="s">
        <v>35</v>
      </c>
      <c r="B340" s="24">
        <f t="shared" si="61"/>
        <v>300</v>
      </c>
      <c r="C340" s="36">
        <v>30.0</v>
      </c>
      <c r="D340" s="37">
        <f t="shared" si="62"/>
        <v>300</v>
      </c>
      <c r="E340" s="41">
        <v>6.0</v>
      </c>
      <c r="F340" s="41">
        <v>1.0</v>
      </c>
      <c r="G340" s="40"/>
      <c r="H340" s="40"/>
      <c r="I340" s="39"/>
      <c r="J340" s="40"/>
      <c r="K340" s="41"/>
      <c r="L340" s="41"/>
      <c r="M340" s="41"/>
      <c r="N340" s="37">
        <f t="shared" si="63"/>
        <v>7</v>
      </c>
      <c r="O340" s="40"/>
      <c r="P340" s="40"/>
      <c r="Q340" s="67">
        <v>1.5</v>
      </c>
      <c r="R340" s="42">
        <f t="shared" si="64"/>
        <v>1.5</v>
      </c>
      <c r="S340" s="45">
        <f t="shared" si="65"/>
        <v>294.5</v>
      </c>
      <c r="T340" s="33">
        <f t="shared" si="66"/>
        <v>12</v>
      </c>
      <c r="U340" s="84"/>
      <c r="V340" s="3"/>
      <c r="W340" s="3"/>
      <c r="X340" s="3"/>
      <c r="Y340" s="3"/>
      <c r="Z340" s="3"/>
    </row>
    <row r="341">
      <c r="A341" s="48" t="s">
        <v>36</v>
      </c>
      <c r="B341" s="49">
        <f t="shared" si="61"/>
        <v>300</v>
      </c>
      <c r="C341" s="50">
        <v>30.0</v>
      </c>
      <c r="D341" s="51">
        <f t="shared" si="62"/>
        <v>300</v>
      </c>
      <c r="E341" s="74"/>
      <c r="F341" s="74"/>
      <c r="G341" s="53"/>
      <c r="H341" s="53"/>
      <c r="I341" s="68"/>
      <c r="J341" s="53"/>
      <c r="K341" s="52"/>
      <c r="L341" s="52"/>
      <c r="M341" s="74"/>
      <c r="N341" s="51">
        <f t="shared" si="63"/>
        <v>0</v>
      </c>
      <c r="O341" s="53"/>
      <c r="P341" s="53"/>
      <c r="Q341" s="69">
        <v>2.0</v>
      </c>
      <c r="R341" s="56">
        <f t="shared" si="64"/>
        <v>2</v>
      </c>
      <c r="S341" s="57">
        <f t="shared" si="65"/>
        <v>302</v>
      </c>
      <c r="T341" s="33">
        <f t="shared" si="66"/>
        <v>5</v>
      </c>
      <c r="U341" s="84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59"/>
      <c r="F342" s="59"/>
      <c r="G342" s="60"/>
      <c r="H342" s="60"/>
      <c r="I342" s="59"/>
      <c r="J342" s="60"/>
      <c r="K342" s="59"/>
      <c r="L342" s="59"/>
      <c r="M342" s="61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62"/>
      <c r="B343" s="63" t="s">
        <v>37</v>
      </c>
      <c r="C343" s="3"/>
      <c r="D343" s="3"/>
      <c r="E343" s="59"/>
      <c r="F343" s="85"/>
      <c r="G343" s="60"/>
      <c r="H343" s="92"/>
      <c r="I343" s="79"/>
      <c r="J343" s="60"/>
      <c r="K343" s="59"/>
      <c r="L343" s="59"/>
      <c r="M343" s="71"/>
      <c r="N343" s="6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62"/>
      <c r="B344" s="65" t="s">
        <v>174</v>
      </c>
      <c r="C344" s="3"/>
      <c r="D344" s="3"/>
      <c r="E344" s="59"/>
      <c r="F344" s="85"/>
      <c r="G344" s="60"/>
      <c r="H344" s="64"/>
      <c r="I344" s="79"/>
      <c r="J344" s="60"/>
      <c r="K344" s="59"/>
      <c r="L344" s="70" t="s">
        <v>175</v>
      </c>
      <c r="M344" s="71"/>
      <c r="N344" s="6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62"/>
      <c r="B345" s="65" t="s">
        <v>176</v>
      </c>
      <c r="C345" s="3"/>
      <c r="D345" s="3"/>
      <c r="E345" s="59"/>
      <c r="F345" s="85"/>
      <c r="G345" s="60"/>
      <c r="H345" s="64"/>
      <c r="I345" s="79"/>
      <c r="J345" s="60"/>
      <c r="K345" s="59"/>
      <c r="L345" s="79" t="s">
        <v>177</v>
      </c>
      <c r="M345" s="71"/>
      <c r="N345" s="90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62"/>
      <c r="B346" s="65" t="s">
        <v>178</v>
      </c>
      <c r="C346" s="3"/>
      <c r="D346" s="3"/>
      <c r="E346" s="59"/>
      <c r="F346" s="85"/>
      <c r="G346" s="60"/>
      <c r="H346" s="64"/>
      <c r="I346" s="79"/>
      <c r="J346" s="60"/>
      <c r="K346" s="59"/>
      <c r="L346" s="79" t="s">
        <v>179</v>
      </c>
      <c r="M346" s="71"/>
      <c r="N346" s="90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62"/>
      <c r="B347" s="65" t="s">
        <v>180</v>
      </c>
      <c r="C347" s="3"/>
      <c r="D347" s="3"/>
      <c r="E347" s="59"/>
      <c r="F347" s="85"/>
      <c r="G347" s="60"/>
      <c r="H347" s="64"/>
      <c r="I347" s="79"/>
      <c r="J347" s="60"/>
      <c r="K347" s="59"/>
      <c r="L347" s="79" t="s">
        <v>181</v>
      </c>
      <c r="M347" s="71"/>
      <c r="N347" s="90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62"/>
      <c r="B348" s="65" t="s">
        <v>182</v>
      </c>
      <c r="C348" s="3"/>
      <c r="D348" s="3"/>
      <c r="E348" s="59"/>
      <c r="F348" s="85"/>
      <c r="G348" s="60"/>
      <c r="H348" s="64"/>
      <c r="I348" s="79"/>
      <c r="J348" s="60"/>
      <c r="K348" s="59"/>
      <c r="L348" s="94" t="s">
        <v>183</v>
      </c>
      <c r="M348" s="71"/>
      <c r="N348" s="90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62"/>
      <c r="B349" s="76" t="s">
        <v>184</v>
      </c>
      <c r="C349" s="3"/>
      <c r="D349" s="3"/>
      <c r="E349" s="59"/>
      <c r="F349" s="85"/>
      <c r="G349" s="60"/>
      <c r="H349" s="64"/>
      <c r="I349" s="79"/>
      <c r="J349" s="60"/>
      <c r="K349" s="59"/>
      <c r="L349" s="79" t="s">
        <v>185</v>
      </c>
      <c r="M349" s="71"/>
      <c r="N349" s="90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65" t="s">
        <v>186</v>
      </c>
      <c r="C350" s="3"/>
      <c r="D350" s="3"/>
      <c r="E350" s="59"/>
      <c r="F350" s="59"/>
      <c r="G350" s="60"/>
      <c r="H350" s="60"/>
      <c r="I350" s="59"/>
      <c r="J350" s="60"/>
      <c r="K350" s="59"/>
      <c r="L350" s="59"/>
      <c r="M350" s="72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59"/>
      <c r="F351" s="59"/>
      <c r="G351" s="60"/>
      <c r="H351" s="60"/>
      <c r="I351" s="59"/>
      <c r="J351" s="60"/>
      <c r="K351" s="59"/>
      <c r="L351" s="70" t="s">
        <v>187</v>
      </c>
      <c r="M351" s="61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59"/>
      <c r="F352" s="59"/>
      <c r="G352" s="60"/>
      <c r="H352" s="60"/>
      <c r="I352" s="59"/>
      <c r="J352" s="60"/>
      <c r="K352" s="59"/>
      <c r="L352" s="79" t="s">
        <v>188</v>
      </c>
      <c r="M352" s="61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59"/>
      <c r="F353" s="59"/>
      <c r="G353" s="60"/>
      <c r="H353" s="60"/>
      <c r="I353" s="59"/>
      <c r="J353" s="60"/>
      <c r="K353" s="59"/>
      <c r="L353" s="59"/>
      <c r="M353" s="61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59"/>
      <c r="F354" s="59"/>
      <c r="G354" s="60"/>
      <c r="H354" s="60"/>
      <c r="I354" s="59"/>
      <c r="J354" s="60"/>
      <c r="K354" s="59"/>
      <c r="L354" s="62" t="s">
        <v>189</v>
      </c>
      <c r="M354" s="61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59"/>
      <c r="F355" s="59"/>
      <c r="G355" s="60"/>
      <c r="H355" s="60"/>
      <c r="I355" s="59"/>
      <c r="J355" s="60"/>
      <c r="K355" s="59"/>
      <c r="L355" s="76" t="s">
        <v>190</v>
      </c>
      <c r="M355" s="61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59"/>
      <c r="F356" s="59"/>
      <c r="G356" s="60"/>
      <c r="H356" s="60"/>
      <c r="I356" s="59"/>
      <c r="J356" s="60"/>
      <c r="K356" s="59"/>
      <c r="L356" s="76" t="s">
        <v>191</v>
      </c>
      <c r="M356" s="61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59"/>
      <c r="F357" s="59"/>
      <c r="G357" s="60"/>
      <c r="H357" s="60"/>
      <c r="I357" s="59"/>
      <c r="J357" s="60"/>
      <c r="K357" s="59"/>
      <c r="L357" s="76"/>
      <c r="M357" s="61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59"/>
      <c r="F358" s="59"/>
      <c r="G358" s="60"/>
      <c r="H358" s="60"/>
      <c r="I358" s="59"/>
      <c r="J358" s="60"/>
      <c r="K358" s="59"/>
      <c r="L358" s="59"/>
      <c r="M358" s="61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59"/>
      <c r="F359" s="59"/>
      <c r="G359" s="60"/>
      <c r="H359" s="60"/>
      <c r="I359" s="59"/>
      <c r="J359" s="60"/>
      <c r="K359" s="59"/>
      <c r="L359" s="59"/>
      <c r="M359" s="61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" t="s">
        <v>192</v>
      </c>
      <c r="U360" s="2"/>
      <c r="V360" s="3"/>
      <c r="W360" s="3"/>
      <c r="X360" s="3"/>
      <c r="Y360" s="3"/>
      <c r="Z360" s="3"/>
    </row>
    <row r="361">
      <c r="A361" s="1" t="s">
        <v>193</v>
      </c>
      <c r="U361" s="2"/>
      <c r="V361" s="3"/>
      <c r="W361" s="3"/>
      <c r="X361" s="3"/>
      <c r="Y361" s="3"/>
      <c r="Z361" s="3"/>
    </row>
    <row r="362">
      <c r="A362" s="2"/>
      <c r="B362" s="4"/>
      <c r="C362" s="2"/>
      <c r="D362" s="2"/>
      <c r="E362" s="5"/>
      <c r="F362" s="5"/>
      <c r="G362" s="6"/>
      <c r="H362" s="6"/>
      <c r="I362" s="5"/>
      <c r="J362" s="6"/>
      <c r="K362" s="5"/>
      <c r="L362" s="5"/>
      <c r="M362" s="7"/>
      <c r="N362" s="2"/>
      <c r="O362" s="2"/>
      <c r="P362" s="2"/>
      <c r="Q362" s="2"/>
      <c r="R362" s="2"/>
      <c r="S362" s="2"/>
      <c r="T362" s="2"/>
      <c r="U362" s="2"/>
      <c r="V362" s="3"/>
      <c r="W362" s="3"/>
      <c r="X362" s="3"/>
      <c r="Y362" s="3"/>
      <c r="Z362" s="3"/>
    </row>
    <row r="363">
      <c r="A363" s="8" t="s">
        <v>2</v>
      </c>
      <c r="B363" s="9" t="s">
        <v>3</v>
      </c>
      <c r="C363" s="10"/>
      <c r="D363" s="11"/>
      <c r="E363" s="12" t="s">
        <v>4</v>
      </c>
      <c r="F363" s="10"/>
      <c r="G363" s="10"/>
      <c r="H363" s="10"/>
      <c r="I363" s="10"/>
      <c r="J363" s="10"/>
      <c r="K363" s="10"/>
      <c r="L363" s="10"/>
      <c r="M363" s="10"/>
      <c r="N363" s="11"/>
      <c r="O363" s="13" t="s">
        <v>5</v>
      </c>
      <c r="P363" s="10"/>
      <c r="Q363" s="10"/>
      <c r="R363" s="11"/>
      <c r="S363" s="14" t="s">
        <v>6</v>
      </c>
      <c r="T363" s="14" t="s">
        <v>7</v>
      </c>
      <c r="U363" s="6"/>
      <c r="V363" s="3"/>
      <c r="W363" s="3"/>
      <c r="X363" s="3"/>
      <c r="Y363" s="3"/>
      <c r="Z363" s="3"/>
    </row>
    <row r="364">
      <c r="A364" s="15"/>
      <c r="B364" s="16" t="s">
        <v>8</v>
      </c>
      <c r="C364" s="17" t="s">
        <v>9</v>
      </c>
      <c r="D364" s="14" t="s">
        <v>10</v>
      </c>
      <c r="E364" s="17" t="s">
        <v>11</v>
      </c>
      <c r="F364" s="17" t="s">
        <v>12</v>
      </c>
      <c r="G364" s="17" t="s">
        <v>13</v>
      </c>
      <c r="H364" s="17" t="s">
        <v>14</v>
      </c>
      <c r="I364" s="17" t="s">
        <v>15</v>
      </c>
      <c r="J364" s="17" t="s">
        <v>16</v>
      </c>
      <c r="K364" s="17" t="s">
        <v>17</v>
      </c>
      <c r="L364" s="17" t="s">
        <v>18</v>
      </c>
      <c r="M364" s="18" t="s">
        <v>19</v>
      </c>
      <c r="N364" s="14" t="s">
        <v>20</v>
      </c>
      <c r="O364" s="17" t="s">
        <v>21</v>
      </c>
      <c r="P364" s="17" t="s">
        <v>22</v>
      </c>
      <c r="Q364" s="17" t="s">
        <v>23</v>
      </c>
      <c r="R364" s="14" t="s">
        <v>24</v>
      </c>
      <c r="S364" s="19"/>
      <c r="T364" s="19"/>
      <c r="U364" s="6"/>
      <c r="V364" s="3"/>
      <c r="W364" s="3"/>
      <c r="X364" s="3"/>
      <c r="Y364" s="3"/>
      <c r="Z364" s="3"/>
    </row>
    <row r="365">
      <c r="A365" s="20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6"/>
      <c r="V365" s="3"/>
      <c r="W365" s="3"/>
      <c r="X365" s="3"/>
      <c r="Y365" s="3"/>
      <c r="Z365" s="3"/>
    </row>
    <row r="366">
      <c r="A366" s="21">
        <v>10.0</v>
      </c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6"/>
      <c r="V366" s="3"/>
      <c r="W366" s="3"/>
      <c r="X366" s="3"/>
      <c r="Y366" s="3"/>
      <c r="Z366" s="3"/>
    </row>
    <row r="367">
      <c r="A367" s="23" t="s">
        <v>25</v>
      </c>
      <c r="B367" s="24">
        <f t="shared" ref="B367:B378" si="67">300-U367</f>
        <v>299</v>
      </c>
      <c r="C367" s="25">
        <v>30.0</v>
      </c>
      <c r="D367" s="26">
        <f t="shared" ref="D367:D378" si="68">B367</f>
        <v>299</v>
      </c>
      <c r="E367" s="73"/>
      <c r="F367" s="73">
        <v>1.0</v>
      </c>
      <c r="G367" s="29"/>
      <c r="H367" s="29"/>
      <c r="I367" s="73"/>
      <c r="J367" s="29"/>
      <c r="K367" s="73"/>
      <c r="L367" s="27"/>
      <c r="M367" s="73">
        <v>0.5</v>
      </c>
      <c r="N367" s="26">
        <f t="shared" ref="N367:N378" si="69">SUM(E367:M367)</f>
        <v>1.5</v>
      </c>
      <c r="O367" s="29"/>
      <c r="P367" s="29"/>
      <c r="Q367" s="83">
        <v>1.0</v>
      </c>
      <c r="R367" s="31">
        <f t="shared" ref="R367:R378" si="70">SUM(O367:Q367)</f>
        <v>1</v>
      </c>
      <c r="S367" s="32">
        <f t="shared" ref="S367:S378" si="71">D367-N367+R367</f>
        <v>298.5</v>
      </c>
      <c r="T367" s="33">
        <f t="shared" ref="T367:T378" si="72">RANK(S367,$S$367:$S$378,0)</f>
        <v>10</v>
      </c>
      <c r="U367" s="84">
        <v>1.0</v>
      </c>
      <c r="V367" s="3"/>
      <c r="W367" s="3"/>
      <c r="X367" s="3"/>
      <c r="Y367" s="3"/>
      <c r="Z367" s="3"/>
    </row>
    <row r="368">
      <c r="A368" s="35" t="s">
        <v>26</v>
      </c>
      <c r="B368" s="24">
        <f t="shared" si="67"/>
        <v>300</v>
      </c>
      <c r="C368" s="36">
        <v>30.0</v>
      </c>
      <c r="D368" s="37">
        <f t="shared" si="68"/>
        <v>300</v>
      </c>
      <c r="E368" s="41"/>
      <c r="F368" s="41"/>
      <c r="G368" s="46"/>
      <c r="H368" s="40"/>
      <c r="I368" s="39"/>
      <c r="J368" s="40"/>
      <c r="K368" s="41"/>
      <c r="L368" s="38"/>
      <c r="M368" s="41">
        <v>0.5</v>
      </c>
      <c r="N368" s="37">
        <f t="shared" si="69"/>
        <v>0.5</v>
      </c>
      <c r="O368" s="40"/>
      <c r="P368" s="40"/>
      <c r="Q368" s="67">
        <v>1.0</v>
      </c>
      <c r="R368" s="42">
        <f t="shared" si="70"/>
        <v>1</v>
      </c>
      <c r="S368" s="43">
        <f t="shared" si="71"/>
        <v>300.5</v>
      </c>
      <c r="T368" s="33">
        <f t="shared" si="72"/>
        <v>2</v>
      </c>
      <c r="U368" s="84"/>
      <c r="V368" s="3"/>
      <c r="W368" s="3"/>
      <c r="X368" s="3"/>
      <c r="Y368" s="3"/>
      <c r="Z368" s="3"/>
    </row>
    <row r="369">
      <c r="A369" s="35" t="s">
        <v>27</v>
      </c>
      <c r="B369" s="24">
        <f t="shared" si="67"/>
        <v>300</v>
      </c>
      <c r="C369" s="36">
        <v>30.0</v>
      </c>
      <c r="D369" s="37">
        <f t="shared" si="68"/>
        <v>300</v>
      </c>
      <c r="E369" s="41"/>
      <c r="F369" s="39"/>
      <c r="G369" s="40"/>
      <c r="H369" s="40"/>
      <c r="I369" s="41"/>
      <c r="J369" s="40"/>
      <c r="K369" s="41"/>
      <c r="L369" s="38"/>
      <c r="M369" s="41"/>
      <c r="N369" s="37">
        <f t="shared" si="69"/>
        <v>0</v>
      </c>
      <c r="O369" s="40"/>
      <c r="P369" s="40"/>
      <c r="Q369" s="67">
        <v>1.0</v>
      </c>
      <c r="R369" s="42">
        <f t="shared" si="70"/>
        <v>1</v>
      </c>
      <c r="S369" s="45">
        <f t="shared" si="71"/>
        <v>301</v>
      </c>
      <c r="T369" s="33">
        <f t="shared" si="72"/>
        <v>1</v>
      </c>
      <c r="U369" s="84"/>
      <c r="V369" s="3"/>
      <c r="W369" s="3"/>
      <c r="X369" s="3"/>
      <c r="Y369" s="3"/>
      <c r="Z369" s="3"/>
    </row>
    <row r="370">
      <c r="A370" s="35" t="s">
        <v>28</v>
      </c>
      <c r="B370" s="24">
        <f t="shared" si="67"/>
        <v>300</v>
      </c>
      <c r="C370" s="36">
        <v>30.0</v>
      </c>
      <c r="D370" s="37">
        <f t="shared" si="68"/>
        <v>300</v>
      </c>
      <c r="E370" s="41"/>
      <c r="F370" s="41">
        <v>1.5</v>
      </c>
      <c r="G370" s="40"/>
      <c r="H370" s="40"/>
      <c r="I370" s="41"/>
      <c r="J370" s="40"/>
      <c r="K370" s="41"/>
      <c r="L370" s="39"/>
      <c r="M370" s="72">
        <v>0.5</v>
      </c>
      <c r="N370" s="37">
        <f t="shared" si="69"/>
        <v>2</v>
      </c>
      <c r="O370" s="40"/>
      <c r="P370" s="40"/>
      <c r="Q370" s="67">
        <v>1.0</v>
      </c>
      <c r="R370" s="42">
        <f t="shared" si="70"/>
        <v>1</v>
      </c>
      <c r="S370" s="45">
        <f t="shared" si="71"/>
        <v>299</v>
      </c>
      <c r="T370" s="33">
        <f t="shared" si="72"/>
        <v>8</v>
      </c>
      <c r="U370" s="84"/>
      <c r="V370" s="3"/>
      <c r="W370" s="3"/>
      <c r="X370" s="3"/>
      <c r="Y370" s="3"/>
      <c r="Z370" s="3"/>
    </row>
    <row r="371">
      <c r="A371" s="35" t="s">
        <v>29</v>
      </c>
      <c r="B371" s="24">
        <f t="shared" si="67"/>
        <v>299</v>
      </c>
      <c r="C371" s="36">
        <v>30.0</v>
      </c>
      <c r="D371" s="37">
        <f t="shared" si="68"/>
        <v>299</v>
      </c>
      <c r="E371" s="41">
        <v>1.5</v>
      </c>
      <c r="F371" s="41">
        <v>1.5</v>
      </c>
      <c r="G371" s="40"/>
      <c r="H371" s="40"/>
      <c r="I371" s="41"/>
      <c r="J371" s="40"/>
      <c r="K371" s="41"/>
      <c r="L371" s="39"/>
      <c r="M371" s="41">
        <v>2.0</v>
      </c>
      <c r="N371" s="37">
        <f t="shared" si="69"/>
        <v>5</v>
      </c>
      <c r="O371" s="40"/>
      <c r="P371" s="40"/>
      <c r="Q371" s="67">
        <v>1.0</v>
      </c>
      <c r="R371" s="42">
        <f t="shared" si="70"/>
        <v>1</v>
      </c>
      <c r="S371" s="45">
        <f t="shared" si="71"/>
        <v>295</v>
      </c>
      <c r="T371" s="33">
        <f t="shared" si="72"/>
        <v>12</v>
      </c>
      <c r="U371" s="84">
        <v>1.0</v>
      </c>
      <c r="V371" s="3"/>
      <c r="W371" s="3"/>
      <c r="X371" s="3"/>
      <c r="Y371" s="3"/>
      <c r="Z371" s="3"/>
    </row>
    <row r="372">
      <c r="A372" s="35" t="s">
        <v>30</v>
      </c>
      <c r="B372" s="24">
        <f t="shared" si="67"/>
        <v>300</v>
      </c>
      <c r="C372" s="36">
        <v>30.0</v>
      </c>
      <c r="D372" s="37">
        <f t="shared" si="68"/>
        <v>300</v>
      </c>
      <c r="E372" s="41"/>
      <c r="F372" s="41">
        <v>0.5</v>
      </c>
      <c r="G372" s="46"/>
      <c r="H372" s="40"/>
      <c r="I372" s="41"/>
      <c r="J372" s="40"/>
      <c r="K372" s="41"/>
      <c r="L372" s="38"/>
      <c r="M372" s="41">
        <v>0.5</v>
      </c>
      <c r="N372" s="37">
        <f t="shared" si="69"/>
        <v>1</v>
      </c>
      <c r="O372" s="40"/>
      <c r="P372" s="40"/>
      <c r="Q372" s="67">
        <v>1.0</v>
      </c>
      <c r="R372" s="42">
        <f t="shared" si="70"/>
        <v>1</v>
      </c>
      <c r="S372" s="45">
        <f t="shared" si="71"/>
        <v>300</v>
      </c>
      <c r="T372" s="33">
        <f t="shared" si="72"/>
        <v>3</v>
      </c>
      <c r="U372" s="84"/>
      <c r="V372" s="3"/>
      <c r="W372" s="3"/>
      <c r="X372" s="3"/>
      <c r="Y372" s="3"/>
      <c r="Z372" s="3"/>
    </row>
    <row r="373">
      <c r="A373" s="35" t="s">
        <v>31</v>
      </c>
      <c r="B373" s="24">
        <f t="shared" si="67"/>
        <v>300</v>
      </c>
      <c r="C373" s="36">
        <v>30.0</v>
      </c>
      <c r="D373" s="37">
        <f t="shared" si="68"/>
        <v>300</v>
      </c>
      <c r="E373" s="38"/>
      <c r="F373" s="41">
        <v>0.5</v>
      </c>
      <c r="G373" s="40"/>
      <c r="H373" s="40"/>
      <c r="I373" s="39"/>
      <c r="J373" s="38"/>
      <c r="K373" s="39"/>
      <c r="L373" s="38"/>
      <c r="M373" s="41">
        <v>0.5</v>
      </c>
      <c r="N373" s="37">
        <f t="shared" si="69"/>
        <v>1</v>
      </c>
      <c r="O373" s="40"/>
      <c r="P373" s="40"/>
      <c r="Q373" s="67">
        <v>1.0</v>
      </c>
      <c r="R373" s="42">
        <f t="shared" si="70"/>
        <v>1</v>
      </c>
      <c r="S373" s="45">
        <f t="shared" si="71"/>
        <v>300</v>
      </c>
      <c r="T373" s="33">
        <f t="shared" si="72"/>
        <v>3</v>
      </c>
      <c r="U373" s="84"/>
      <c r="V373" s="3"/>
      <c r="W373" s="3"/>
      <c r="X373" s="3"/>
      <c r="Y373" s="3"/>
      <c r="Z373" s="3"/>
    </row>
    <row r="374">
      <c r="A374" s="35" t="s">
        <v>32</v>
      </c>
      <c r="B374" s="24">
        <f t="shared" si="67"/>
        <v>300</v>
      </c>
      <c r="C374" s="36">
        <v>30.0</v>
      </c>
      <c r="D374" s="37">
        <f t="shared" si="68"/>
        <v>300</v>
      </c>
      <c r="E374" s="41">
        <v>1.5</v>
      </c>
      <c r="F374" s="39"/>
      <c r="G374" s="40"/>
      <c r="H374" s="40"/>
      <c r="I374" s="38"/>
      <c r="J374" s="40"/>
      <c r="K374" s="41"/>
      <c r="L374" s="38"/>
      <c r="M374" s="41"/>
      <c r="N374" s="37">
        <f t="shared" si="69"/>
        <v>1.5</v>
      </c>
      <c r="O374" s="40"/>
      <c r="P374" s="40"/>
      <c r="Q374" s="67">
        <v>1.0</v>
      </c>
      <c r="R374" s="42">
        <f t="shared" si="70"/>
        <v>1</v>
      </c>
      <c r="S374" s="47">
        <f t="shared" si="71"/>
        <v>299.5</v>
      </c>
      <c r="T374" s="33">
        <f t="shared" si="72"/>
        <v>6</v>
      </c>
      <c r="U374" s="1"/>
      <c r="V374" s="3"/>
      <c r="W374" s="3"/>
      <c r="X374" s="3"/>
      <c r="Y374" s="3"/>
      <c r="Z374" s="3"/>
    </row>
    <row r="375">
      <c r="A375" s="35" t="s">
        <v>33</v>
      </c>
      <c r="B375" s="24">
        <f t="shared" si="67"/>
        <v>298</v>
      </c>
      <c r="C375" s="36">
        <v>30.0</v>
      </c>
      <c r="D375" s="37">
        <f t="shared" si="68"/>
        <v>298</v>
      </c>
      <c r="E375" s="41"/>
      <c r="F375" s="41"/>
      <c r="G375" s="40"/>
      <c r="H375" s="40"/>
      <c r="I375" s="41"/>
      <c r="J375" s="38"/>
      <c r="K375" s="41"/>
      <c r="L375" s="38"/>
      <c r="M375" s="41"/>
      <c r="N375" s="37">
        <f t="shared" si="69"/>
        <v>0</v>
      </c>
      <c r="O375" s="40"/>
      <c r="P375" s="40"/>
      <c r="Q375" s="67">
        <v>1.0</v>
      </c>
      <c r="R375" s="42">
        <f t="shared" si="70"/>
        <v>1</v>
      </c>
      <c r="S375" s="47">
        <f t="shared" si="71"/>
        <v>299</v>
      </c>
      <c r="T375" s="33">
        <f t="shared" si="72"/>
        <v>8</v>
      </c>
      <c r="U375" s="84">
        <v>2.0</v>
      </c>
      <c r="V375" s="3"/>
      <c r="W375" s="3"/>
      <c r="X375" s="3"/>
      <c r="Y375" s="3"/>
      <c r="Z375" s="3"/>
    </row>
    <row r="376">
      <c r="A376" s="35" t="s">
        <v>34</v>
      </c>
      <c r="B376" s="24">
        <f t="shared" si="67"/>
        <v>300</v>
      </c>
      <c r="C376" s="36">
        <v>30.0</v>
      </c>
      <c r="D376" s="37">
        <f t="shared" si="68"/>
        <v>300</v>
      </c>
      <c r="E376" s="41"/>
      <c r="F376" s="41"/>
      <c r="G376" s="40"/>
      <c r="H376" s="40"/>
      <c r="I376" s="41">
        <v>1.0</v>
      </c>
      <c r="J376" s="40"/>
      <c r="K376" s="41"/>
      <c r="L376" s="38"/>
      <c r="M376" s="41">
        <v>0.5</v>
      </c>
      <c r="N376" s="37">
        <f t="shared" si="69"/>
        <v>1.5</v>
      </c>
      <c r="O376" s="40"/>
      <c r="P376" s="40"/>
      <c r="Q376" s="67">
        <v>1.0</v>
      </c>
      <c r="R376" s="42">
        <f t="shared" si="70"/>
        <v>1</v>
      </c>
      <c r="S376" s="43">
        <f t="shared" si="71"/>
        <v>299.5</v>
      </c>
      <c r="T376" s="33">
        <f t="shared" si="72"/>
        <v>6</v>
      </c>
      <c r="U376" s="84"/>
      <c r="V376" s="3"/>
      <c r="W376" s="3"/>
      <c r="X376" s="3"/>
      <c r="Y376" s="3"/>
      <c r="Z376" s="3"/>
    </row>
    <row r="377">
      <c r="A377" s="35" t="s">
        <v>35</v>
      </c>
      <c r="B377" s="24">
        <f t="shared" si="67"/>
        <v>300</v>
      </c>
      <c r="C377" s="36">
        <v>30.0</v>
      </c>
      <c r="D377" s="37">
        <f t="shared" si="68"/>
        <v>300</v>
      </c>
      <c r="E377" s="41">
        <v>1.5</v>
      </c>
      <c r="F377" s="41">
        <v>0.5</v>
      </c>
      <c r="G377" s="40"/>
      <c r="H377" s="40"/>
      <c r="I377" s="39"/>
      <c r="J377" s="40"/>
      <c r="K377" s="41"/>
      <c r="L377" s="41"/>
      <c r="M377" s="41">
        <v>0.5</v>
      </c>
      <c r="N377" s="37">
        <f t="shared" si="69"/>
        <v>2.5</v>
      </c>
      <c r="O377" s="40"/>
      <c r="P377" s="40"/>
      <c r="Q377" s="67">
        <v>1.0</v>
      </c>
      <c r="R377" s="42">
        <f t="shared" si="70"/>
        <v>1</v>
      </c>
      <c r="S377" s="45">
        <f t="shared" si="71"/>
        <v>298.5</v>
      </c>
      <c r="T377" s="33">
        <f t="shared" si="72"/>
        <v>10</v>
      </c>
      <c r="U377" s="84"/>
      <c r="V377" s="3"/>
      <c r="W377" s="3"/>
      <c r="X377" s="3"/>
      <c r="Y377" s="3"/>
      <c r="Z377" s="3"/>
    </row>
    <row r="378">
      <c r="A378" s="48" t="s">
        <v>36</v>
      </c>
      <c r="B378" s="49">
        <f t="shared" si="67"/>
        <v>300</v>
      </c>
      <c r="C378" s="50">
        <v>30.0</v>
      </c>
      <c r="D378" s="51">
        <f t="shared" si="68"/>
        <v>300</v>
      </c>
      <c r="E378" s="74"/>
      <c r="F378" s="74">
        <v>0.5</v>
      </c>
      <c r="G378" s="53"/>
      <c r="H378" s="53"/>
      <c r="I378" s="68"/>
      <c r="J378" s="53"/>
      <c r="K378" s="52"/>
      <c r="L378" s="52"/>
      <c r="M378" s="74">
        <v>0.5</v>
      </c>
      <c r="N378" s="51">
        <f t="shared" si="69"/>
        <v>1</v>
      </c>
      <c r="O378" s="53"/>
      <c r="P378" s="53"/>
      <c r="Q378" s="69">
        <v>1.0</v>
      </c>
      <c r="R378" s="56">
        <f t="shared" si="70"/>
        <v>1</v>
      </c>
      <c r="S378" s="57">
        <f t="shared" si="71"/>
        <v>300</v>
      </c>
      <c r="T378" s="33">
        <f t="shared" si="72"/>
        <v>3</v>
      </c>
      <c r="U378" s="84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59"/>
      <c r="F379" s="59"/>
      <c r="G379" s="60"/>
      <c r="H379" s="60"/>
      <c r="I379" s="59"/>
      <c r="J379" s="60"/>
      <c r="K379" s="59"/>
      <c r="L379" s="59"/>
      <c r="M379" s="61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62"/>
      <c r="B380" s="63" t="s">
        <v>37</v>
      </c>
      <c r="C380" s="3"/>
      <c r="D380" s="3"/>
      <c r="E380" s="59"/>
      <c r="F380" s="85"/>
      <c r="G380" s="60"/>
      <c r="H380" s="92"/>
      <c r="I380" s="79"/>
      <c r="J380" s="60"/>
      <c r="K380" s="59"/>
      <c r="L380" s="75" t="s">
        <v>194</v>
      </c>
      <c r="M380" s="71"/>
      <c r="N380" s="6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62"/>
      <c r="B381" s="65" t="s">
        <v>195</v>
      </c>
      <c r="C381" s="3"/>
      <c r="D381" s="3"/>
      <c r="E381" s="59"/>
      <c r="F381" s="85"/>
      <c r="G381" s="60"/>
      <c r="H381" s="92"/>
      <c r="I381" s="79"/>
      <c r="J381" s="60"/>
      <c r="K381" s="59"/>
      <c r="L381" s="59"/>
      <c r="M381" s="71"/>
      <c r="N381" s="6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62"/>
      <c r="B382" s="65" t="s">
        <v>196</v>
      </c>
      <c r="C382" s="3"/>
      <c r="D382" s="3"/>
      <c r="E382" s="59"/>
      <c r="F382" s="85"/>
      <c r="G382" s="60"/>
      <c r="H382" s="92"/>
      <c r="I382" s="79"/>
      <c r="J382" s="60"/>
      <c r="K382" s="59"/>
      <c r="L382" s="59"/>
      <c r="M382" s="71"/>
      <c r="N382" s="63"/>
      <c r="O382" s="3"/>
      <c r="P382" s="70" t="s">
        <v>187</v>
      </c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62"/>
      <c r="B383" s="65" t="s">
        <v>197</v>
      </c>
      <c r="C383" s="3"/>
      <c r="D383" s="3"/>
      <c r="E383" s="59"/>
      <c r="F383" s="85"/>
      <c r="G383" s="60"/>
      <c r="H383" s="92"/>
      <c r="I383" s="79"/>
      <c r="J383" s="60"/>
      <c r="K383" s="59"/>
      <c r="L383" s="59"/>
      <c r="M383" s="71"/>
      <c r="N383" s="63"/>
      <c r="O383" s="3"/>
      <c r="P383" s="79" t="s">
        <v>188</v>
      </c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62"/>
      <c r="B384" s="65" t="s">
        <v>198</v>
      </c>
      <c r="C384" s="3"/>
      <c r="D384" s="3"/>
      <c r="E384" s="59"/>
      <c r="F384" s="85"/>
      <c r="G384" s="60"/>
      <c r="H384" s="92"/>
      <c r="I384" s="79"/>
      <c r="J384" s="60"/>
      <c r="K384" s="59"/>
      <c r="L384" s="59"/>
      <c r="M384" s="71"/>
      <c r="N384" s="6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62"/>
      <c r="B385" s="65" t="s">
        <v>199</v>
      </c>
      <c r="C385" s="3"/>
      <c r="D385" s="3"/>
      <c r="E385" s="59"/>
      <c r="F385" s="85"/>
      <c r="G385" s="60"/>
      <c r="H385" s="64"/>
      <c r="I385" s="79"/>
      <c r="J385" s="60"/>
      <c r="K385" s="59"/>
      <c r="L385" s="94"/>
      <c r="M385" s="71"/>
      <c r="N385" s="90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62"/>
      <c r="B386" s="65" t="s">
        <v>200</v>
      </c>
      <c r="C386" s="3"/>
      <c r="D386" s="3"/>
      <c r="E386" s="59"/>
      <c r="F386" s="85"/>
      <c r="G386" s="60"/>
      <c r="H386" s="64"/>
      <c r="I386" s="79"/>
      <c r="J386" s="60"/>
      <c r="K386" s="59"/>
      <c r="L386" s="94"/>
      <c r="M386" s="71"/>
      <c r="N386" s="90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62"/>
      <c r="B387" s="65" t="s">
        <v>201</v>
      </c>
      <c r="C387" s="3"/>
      <c r="D387" s="3"/>
      <c r="E387" s="59"/>
      <c r="F387" s="85"/>
      <c r="G387" s="60"/>
      <c r="H387" s="64"/>
      <c r="I387" s="79"/>
      <c r="J387" s="60"/>
      <c r="K387" s="59"/>
      <c r="L387" s="94"/>
      <c r="M387" s="71"/>
      <c r="N387" s="90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65" t="s">
        <v>202</v>
      </c>
      <c r="C388" s="3"/>
      <c r="D388" s="3"/>
      <c r="E388" s="59"/>
      <c r="F388" s="59"/>
      <c r="G388" s="60"/>
      <c r="H388" s="60"/>
      <c r="I388" s="59"/>
      <c r="J388" s="60"/>
      <c r="K388" s="59"/>
      <c r="L388" s="59"/>
      <c r="M388" s="72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65" t="s">
        <v>203</v>
      </c>
      <c r="C389" s="3"/>
      <c r="D389" s="3"/>
      <c r="E389" s="59"/>
      <c r="F389" s="59"/>
      <c r="G389" s="60"/>
      <c r="H389" s="60"/>
      <c r="I389" s="59"/>
      <c r="J389" s="60"/>
      <c r="K389" s="59"/>
      <c r="L389" s="70"/>
      <c r="M389" s="61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59"/>
      <c r="F390" s="59"/>
      <c r="G390" s="60"/>
      <c r="H390" s="60"/>
      <c r="I390" s="59"/>
      <c r="J390" s="60"/>
      <c r="K390" s="59"/>
      <c r="L390" s="79"/>
      <c r="M390" s="61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59"/>
      <c r="F391" s="59"/>
      <c r="G391" s="60"/>
      <c r="H391" s="60"/>
      <c r="I391" s="59"/>
      <c r="J391" s="60"/>
      <c r="K391" s="59"/>
      <c r="L391" s="59"/>
      <c r="M391" s="61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59"/>
      <c r="F392" s="59"/>
      <c r="G392" s="60"/>
      <c r="H392" s="60"/>
      <c r="I392" s="59"/>
      <c r="J392" s="60"/>
      <c r="K392" s="59"/>
      <c r="L392" s="62"/>
      <c r="M392" s="61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" t="s">
        <v>204</v>
      </c>
      <c r="U393" s="2"/>
      <c r="V393" s="3"/>
      <c r="W393" s="3"/>
      <c r="X393" s="3"/>
      <c r="Y393" s="3"/>
      <c r="Z393" s="3"/>
    </row>
    <row r="394">
      <c r="A394" s="1" t="s">
        <v>205</v>
      </c>
      <c r="U394" s="2"/>
      <c r="V394" s="3"/>
      <c r="W394" s="3"/>
      <c r="X394" s="3"/>
      <c r="Y394" s="3"/>
      <c r="Z394" s="3"/>
    </row>
    <row r="395">
      <c r="A395" s="2"/>
      <c r="B395" s="4"/>
      <c r="C395" s="2"/>
      <c r="D395" s="2"/>
      <c r="E395" s="5"/>
      <c r="F395" s="5"/>
      <c r="G395" s="6"/>
      <c r="H395" s="6"/>
      <c r="I395" s="5"/>
      <c r="J395" s="6"/>
      <c r="K395" s="5"/>
      <c r="L395" s="5"/>
      <c r="M395" s="7"/>
      <c r="N395" s="2"/>
      <c r="O395" s="2"/>
      <c r="P395" s="2"/>
      <c r="Q395" s="2"/>
      <c r="R395" s="2"/>
      <c r="S395" s="2"/>
      <c r="T395" s="2"/>
      <c r="U395" s="2"/>
      <c r="V395" s="3"/>
      <c r="W395" s="3"/>
      <c r="X395" s="3"/>
      <c r="Y395" s="3"/>
      <c r="Z395" s="3"/>
    </row>
    <row r="396">
      <c r="A396" s="8" t="s">
        <v>2</v>
      </c>
      <c r="B396" s="9" t="s">
        <v>3</v>
      </c>
      <c r="C396" s="10"/>
      <c r="D396" s="11"/>
      <c r="E396" s="12" t="s">
        <v>4</v>
      </c>
      <c r="F396" s="10"/>
      <c r="G396" s="10"/>
      <c r="H396" s="10"/>
      <c r="I396" s="10"/>
      <c r="J396" s="10"/>
      <c r="K396" s="10"/>
      <c r="L396" s="10"/>
      <c r="M396" s="10"/>
      <c r="N396" s="11"/>
      <c r="O396" s="13" t="s">
        <v>5</v>
      </c>
      <c r="P396" s="10"/>
      <c r="Q396" s="10"/>
      <c r="R396" s="11"/>
      <c r="S396" s="14" t="s">
        <v>6</v>
      </c>
      <c r="T396" s="14" t="s">
        <v>7</v>
      </c>
      <c r="U396" s="6"/>
      <c r="V396" s="3"/>
      <c r="W396" s="3"/>
      <c r="X396" s="3"/>
      <c r="Y396" s="3"/>
      <c r="Z396" s="3"/>
    </row>
    <row r="397">
      <c r="A397" s="15"/>
      <c r="B397" s="16" t="s">
        <v>8</v>
      </c>
      <c r="C397" s="17" t="s">
        <v>9</v>
      </c>
      <c r="D397" s="14" t="s">
        <v>10</v>
      </c>
      <c r="E397" s="17" t="s">
        <v>11</v>
      </c>
      <c r="F397" s="17" t="s">
        <v>12</v>
      </c>
      <c r="G397" s="17" t="s">
        <v>13</v>
      </c>
      <c r="H397" s="17" t="s">
        <v>14</v>
      </c>
      <c r="I397" s="17" t="s">
        <v>15</v>
      </c>
      <c r="J397" s="17" t="s">
        <v>16</v>
      </c>
      <c r="K397" s="17" t="s">
        <v>17</v>
      </c>
      <c r="L397" s="17" t="s">
        <v>18</v>
      </c>
      <c r="M397" s="18" t="s">
        <v>19</v>
      </c>
      <c r="N397" s="14" t="s">
        <v>20</v>
      </c>
      <c r="O397" s="17" t="s">
        <v>21</v>
      </c>
      <c r="P397" s="17" t="s">
        <v>22</v>
      </c>
      <c r="Q397" s="17" t="s">
        <v>23</v>
      </c>
      <c r="R397" s="14" t="s">
        <v>24</v>
      </c>
      <c r="S397" s="19"/>
      <c r="T397" s="19"/>
      <c r="U397" s="6"/>
      <c r="V397" s="3"/>
      <c r="W397" s="3"/>
      <c r="X397" s="3"/>
      <c r="Y397" s="3"/>
      <c r="Z397" s="3"/>
    </row>
    <row r="398">
      <c r="A398" s="20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6"/>
      <c r="V398" s="3"/>
      <c r="W398" s="3"/>
      <c r="X398" s="3"/>
      <c r="Y398" s="3"/>
      <c r="Z398" s="3"/>
    </row>
    <row r="399">
      <c r="A399" s="21">
        <v>10.0</v>
      </c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6"/>
      <c r="V399" s="3"/>
      <c r="W399" s="3"/>
      <c r="X399" s="3"/>
      <c r="Y399" s="3"/>
      <c r="Z399" s="3"/>
    </row>
    <row r="400">
      <c r="A400" s="23" t="s">
        <v>25</v>
      </c>
      <c r="B400" s="24">
        <f t="shared" ref="B400:B411" si="73">300-U400</f>
        <v>299</v>
      </c>
      <c r="C400" s="25">
        <v>30.0</v>
      </c>
      <c r="D400" s="26">
        <f t="shared" ref="D400:D411" si="74">B400</f>
        <v>299</v>
      </c>
      <c r="E400" s="73"/>
      <c r="F400" s="73"/>
      <c r="G400" s="29"/>
      <c r="H400" s="29"/>
      <c r="I400" s="73"/>
      <c r="J400" s="29"/>
      <c r="K400" s="73"/>
      <c r="L400" s="27"/>
      <c r="M400" s="73">
        <v>0.5</v>
      </c>
      <c r="N400" s="26">
        <f t="shared" ref="N400:N411" si="75">SUM(E400:M400)</f>
        <v>0.5</v>
      </c>
      <c r="O400" s="29"/>
      <c r="P400" s="29"/>
      <c r="Q400" s="83">
        <v>1.0</v>
      </c>
      <c r="R400" s="31">
        <f t="shared" ref="R400:R411" si="76">SUM(O400:Q400)</f>
        <v>1</v>
      </c>
      <c r="S400" s="32">
        <f t="shared" ref="S400:S411" si="77">D400-N400+R400</f>
        <v>299.5</v>
      </c>
      <c r="T400" s="33">
        <f t="shared" ref="T400:T411" si="78">RANK(S400,$S$400:$S$411,0)</f>
        <v>7</v>
      </c>
      <c r="U400" s="84">
        <v>1.0</v>
      </c>
      <c r="V400" s="3"/>
      <c r="W400" s="3"/>
      <c r="X400" s="3"/>
      <c r="Y400" s="3"/>
      <c r="Z400" s="3"/>
    </row>
    <row r="401">
      <c r="A401" s="35" t="s">
        <v>26</v>
      </c>
      <c r="B401" s="24">
        <f t="shared" si="73"/>
        <v>300</v>
      </c>
      <c r="C401" s="36">
        <v>30.0</v>
      </c>
      <c r="D401" s="37">
        <f t="shared" si="74"/>
        <v>300</v>
      </c>
      <c r="E401" s="41"/>
      <c r="F401" s="41">
        <v>0.5</v>
      </c>
      <c r="G401" s="46"/>
      <c r="H401" s="40"/>
      <c r="I401" s="39"/>
      <c r="J401" s="40"/>
      <c r="K401" s="41"/>
      <c r="L401" s="38"/>
      <c r="M401" s="41"/>
      <c r="N401" s="37">
        <f t="shared" si="75"/>
        <v>0.5</v>
      </c>
      <c r="O401" s="40"/>
      <c r="P401" s="40"/>
      <c r="Q401" s="67">
        <v>1.0</v>
      </c>
      <c r="R401" s="42">
        <f t="shared" si="76"/>
        <v>1</v>
      </c>
      <c r="S401" s="43">
        <f t="shared" si="77"/>
        <v>300.5</v>
      </c>
      <c r="T401" s="33">
        <f t="shared" si="78"/>
        <v>3</v>
      </c>
      <c r="U401" s="84"/>
      <c r="V401" s="3"/>
      <c r="W401" s="3"/>
      <c r="X401" s="3"/>
      <c r="Y401" s="3"/>
      <c r="Z401" s="3"/>
    </row>
    <row r="402">
      <c r="A402" s="35" t="s">
        <v>27</v>
      </c>
      <c r="B402" s="24">
        <f t="shared" si="73"/>
        <v>299</v>
      </c>
      <c r="C402" s="36">
        <v>30.0</v>
      </c>
      <c r="D402" s="37">
        <f t="shared" si="74"/>
        <v>299</v>
      </c>
      <c r="E402" s="41"/>
      <c r="F402" s="39"/>
      <c r="G402" s="40"/>
      <c r="H402" s="40"/>
      <c r="I402" s="41"/>
      <c r="J402" s="40"/>
      <c r="K402" s="41"/>
      <c r="L402" s="38"/>
      <c r="M402" s="41"/>
      <c r="N402" s="37">
        <f t="shared" si="75"/>
        <v>0</v>
      </c>
      <c r="O402" s="40"/>
      <c r="P402" s="40"/>
      <c r="Q402" s="67">
        <v>1.0</v>
      </c>
      <c r="R402" s="42">
        <f t="shared" si="76"/>
        <v>1</v>
      </c>
      <c r="S402" s="45">
        <f t="shared" si="77"/>
        <v>300</v>
      </c>
      <c r="T402" s="33">
        <f t="shared" si="78"/>
        <v>5</v>
      </c>
      <c r="U402" s="84">
        <v>1.0</v>
      </c>
      <c r="V402" s="3"/>
      <c r="W402" s="3"/>
      <c r="X402" s="3"/>
      <c r="Y402" s="3"/>
      <c r="Z402" s="3"/>
    </row>
    <row r="403">
      <c r="A403" s="35" t="s">
        <v>28</v>
      </c>
      <c r="B403" s="24">
        <f t="shared" si="73"/>
        <v>300</v>
      </c>
      <c r="C403" s="36">
        <v>30.0</v>
      </c>
      <c r="D403" s="37">
        <f t="shared" si="74"/>
        <v>300</v>
      </c>
      <c r="E403" s="41"/>
      <c r="F403" s="41"/>
      <c r="G403" s="40"/>
      <c r="H403" s="40"/>
      <c r="I403" s="41"/>
      <c r="J403" s="40"/>
      <c r="K403" s="41"/>
      <c r="L403" s="39"/>
      <c r="M403" s="72">
        <v>0.5</v>
      </c>
      <c r="N403" s="37">
        <f t="shared" si="75"/>
        <v>0.5</v>
      </c>
      <c r="O403" s="40"/>
      <c r="P403" s="40"/>
      <c r="Q403" s="67">
        <v>1.0</v>
      </c>
      <c r="R403" s="42">
        <f t="shared" si="76"/>
        <v>1</v>
      </c>
      <c r="S403" s="45">
        <f t="shared" si="77"/>
        <v>300.5</v>
      </c>
      <c r="T403" s="33">
        <f t="shared" si="78"/>
        <v>3</v>
      </c>
      <c r="U403" s="84"/>
      <c r="V403" s="3"/>
      <c r="W403" s="3"/>
      <c r="X403" s="3"/>
      <c r="Y403" s="3"/>
      <c r="Z403" s="3"/>
    </row>
    <row r="404">
      <c r="A404" s="35" t="s">
        <v>29</v>
      </c>
      <c r="B404" s="24">
        <f t="shared" si="73"/>
        <v>298</v>
      </c>
      <c r="C404" s="36">
        <v>30.0</v>
      </c>
      <c r="D404" s="37">
        <f t="shared" si="74"/>
        <v>298</v>
      </c>
      <c r="E404" s="41"/>
      <c r="F404" s="41">
        <v>0.5</v>
      </c>
      <c r="G404" s="40"/>
      <c r="H404" s="40"/>
      <c r="I404" s="41"/>
      <c r="J404" s="40"/>
      <c r="K404" s="41"/>
      <c r="L404" s="39"/>
      <c r="M404" s="41"/>
      <c r="N404" s="37">
        <f t="shared" si="75"/>
        <v>0.5</v>
      </c>
      <c r="O404" s="40"/>
      <c r="P404" s="40"/>
      <c r="Q404" s="67">
        <v>1.0</v>
      </c>
      <c r="R404" s="42">
        <f t="shared" si="76"/>
        <v>1</v>
      </c>
      <c r="S404" s="45">
        <f t="shared" si="77"/>
        <v>298.5</v>
      </c>
      <c r="T404" s="33">
        <f t="shared" si="78"/>
        <v>9</v>
      </c>
      <c r="U404" s="84">
        <v>2.0</v>
      </c>
      <c r="V404" s="3"/>
      <c r="W404" s="3"/>
      <c r="X404" s="3"/>
      <c r="Y404" s="3"/>
      <c r="Z404" s="3"/>
    </row>
    <row r="405">
      <c r="A405" s="35" t="s">
        <v>30</v>
      </c>
      <c r="B405" s="24">
        <f t="shared" si="73"/>
        <v>300</v>
      </c>
      <c r="C405" s="36">
        <v>30.0</v>
      </c>
      <c r="D405" s="37">
        <f t="shared" si="74"/>
        <v>300</v>
      </c>
      <c r="E405" s="41">
        <v>3.0</v>
      </c>
      <c r="F405" s="41">
        <v>2.0</v>
      </c>
      <c r="G405" s="46"/>
      <c r="H405" s="40"/>
      <c r="I405" s="41"/>
      <c r="J405" s="40"/>
      <c r="K405" s="41"/>
      <c r="L405" s="38"/>
      <c r="M405" s="41"/>
      <c r="N405" s="37">
        <f t="shared" si="75"/>
        <v>5</v>
      </c>
      <c r="O405" s="40"/>
      <c r="P405" s="40"/>
      <c r="Q405" s="67">
        <v>1.0</v>
      </c>
      <c r="R405" s="42">
        <f t="shared" si="76"/>
        <v>1</v>
      </c>
      <c r="S405" s="45">
        <f t="shared" si="77"/>
        <v>296</v>
      </c>
      <c r="T405" s="33">
        <f t="shared" si="78"/>
        <v>11</v>
      </c>
      <c r="U405" s="84"/>
      <c r="V405" s="3"/>
      <c r="W405" s="3"/>
      <c r="X405" s="3"/>
      <c r="Y405" s="3"/>
      <c r="Z405" s="3"/>
    </row>
    <row r="406">
      <c r="A406" s="35" t="s">
        <v>31</v>
      </c>
      <c r="B406" s="24">
        <f t="shared" si="73"/>
        <v>300</v>
      </c>
      <c r="C406" s="36">
        <v>30.0</v>
      </c>
      <c r="D406" s="37">
        <f t="shared" si="74"/>
        <v>300</v>
      </c>
      <c r="E406" s="38"/>
      <c r="F406" s="41"/>
      <c r="G406" s="40"/>
      <c r="H406" s="40"/>
      <c r="I406" s="39"/>
      <c r="J406" s="38"/>
      <c r="K406" s="39"/>
      <c r="L406" s="38"/>
      <c r="M406" s="41"/>
      <c r="N406" s="37">
        <f t="shared" si="75"/>
        <v>0</v>
      </c>
      <c r="O406" s="40"/>
      <c r="P406" s="40"/>
      <c r="Q406" s="67"/>
      <c r="R406" s="42">
        <f t="shared" si="76"/>
        <v>0</v>
      </c>
      <c r="S406" s="45">
        <f t="shared" si="77"/>
        <v>300</v>
      </c>
      <c r="T406" s="33">
        <f t="shared" si="78"/>
        <v>5</v>
      </c>
      <c r="U406" s="84"/>
      <c r="V406" s="3"/>
      <c r="W406" s="3"/>
      <c r="X406" s="3"/>
      <c r="Y406" s="3"/>
      <c r="Z406" s="3"/>
    </row>
    <row r="407">
      <c r="A407" s="35" t="s">
        <v>32</v>
      </c>
      <c r="B407" s="24">
        <f t="shared" si="73"/>
        <v>300</v>
      </c>
      <c r="C407" s="36">
        <v>30.0</v>
      </c>
      <c r="D407" s="37">
        <f t="shared" si="74"/>
        <v>300</v>
      </c>
      <c r="E407" s="41"/>
      <c r="F407" s="39"/>
      <c r="G407" s="40"/>
      <c r="H407" s="40"/>
      <c r="I407" s="38"/>
      <c r="J407" s="40"/>
      <c r="K407" s="41"/>
      <c r="L407" s="38"/>
      <c r="M407" s="41"/>
      <c r="N407" s="37">
        <f t="shared" si="75"/>
        <v>0</v>
      </c>
      <c r="O407" s="40"/>
      <c r="P407" s="40"/>
      <c r="Q407" s="67">
        <v>1.0</v>
      </c>
      <c r="R407" s="42">
        <f t="shared" si="76"/>
        <v>1</v>
      </c>
      <c r="S407" s="47">
        <f t="shared" si="77"/>
        <v>301</v>
      </c>
      <c r="T407" s="33">
        <f t="shared" si="78"/>
        <v>1</v>
      </c>
      <c r="U407" s="1"/>
      <c r="V407" s="3"/>
      <c r="W407" s="3"/>
      <c r="X407" s="3"/>
      <c r="Y407" s="3"/>
      <c r="Z407" s="3"/>
    </row>
    <row r="408">
      <c r="A408" s="35" t="s">
        <v>33</v>
      </c>
      <c r="B408" s="24">
        <f t="shared" si="73"/>
        <v>299</v>
      </c>
      <c r="C408" s="36">
        <v>30.0</v>
      </c>
      <c r="D408" s="37">
        <f t="shared" si="74"/>
        <v>299</v>
      </c>
      <c r="E408" s="41"/>
      <c r="F408" s="41">
        <v>1.0</v>
      </c>
      <c r="G408" s="40"/>
      <c r="H408" s="40"/>
      <c r="I408" s="41"/>
      <c r="J408" s="38"/>
      <c r="K408" s="41"/>
      <c r="L408" s="41">
        <v>0.5</v>
      </c>
      <c r="M408" s="41"/>
      <c r="N408" s="37">
        <f t="shared" si="75"/>
        <v>1.5</v>
      </c>
      <c r="O408" s="40"/>
      <c r="P408" s="40"/>
      <c r="Q408" s="67">
        <v>1.0</v>
      </c>
      <c r="R408" s="42">
        <f t="shared" si="76"/>
        <v>1</v>
      </c>
      <c r="S408" s="47">
        <f t="shared" si="77"/>
        <v>298.5</v>
      </c>
      <c r="T408" s="33">
        <f t="shared" si="78"/>
        <v>9</v>
      </c>
      <c r="U408" s="84">
        <v>1.0</v>
      </c>
      <c r="V408" s="3"/>
      <c r="W408" s="3"/>
      <c r="X408" s="3"/>
      <c r="Y408" s="3"/>
      <c r="Z408" s="3"/>
    </row>
    <row r="409">
      <c r="A409" s="35" t="s">
        <v>34</v>
      </c>
      <c r="B409" s="24">
        <f t="shared" si="73"/>
        <v>300</v>
      </c>
      <c r="C409" s="36">
        <v>30.0</v>
      </c>
      <c r="D409" s="37">
        <f t="shared" si="74"/>
        <v>300</v>
      </c>
      <c r="E409" s="41"/>
      <c r="F409" s="41">
        <v>0.5</v>
      </c>
      <c r="G409" s="40"/>
      <c r="H409" s="40"/>
      <c r="I409" s="41">
        <v>0.5</v>
      </c>
      <c r="J409" s="40"/>
      <c r="K409" s="41"/>
      <c r="L409" s="38"/>
      <c r="M409" s="41">
        <v>1.0</v>
      </c>
      <c r="N409" s="37">
        <f t="shared" si="75"/>
        <v>2</v>
      </c>
      <c r="O409" s="40"/>
      <c r="P409" s="40"/>
      <c r="Q409" s="67">
        <v>1.0</v>
      </c>
      <c r="R409" s="42">
        <f t="shared" si="76"/>
        <v>1</v>
      </c>
      <c r="S409" s="43">
        <f t="shared" si="77"/>
        <v>299</v>
      </c>
      <c r="T409" s="33">
        <f t="shared" si="78"/>
        <v>8</v>
      </c>
      <c r="U409" s="84"/>
      <c r="V409" s="3"/>
      <c r="W409" s="3"/>
      <c r="X409" s="3"/>
      <c r="Y409" s="3"/>
      <c r="Z409" s="3"/>
    </row>
    <row r="410">
      <c r="A410" s="35" t="s">
        <v>35</v>
      </c>
      <c r="B410" s="24">
        <f t="shared" si="73"/>
        <v>298</v>
      </c>
      <c r="C410" s="36">
        <v>30.0</v>
      </c>
      <c r="D410" s="37">
        <f t="shared" si="74"/>
        <v>298</v>
      </c>
      <c r="E410" s="41">
        <v>6.0</v>
      </c>
      <c r="F410" s="41">
        <v>1.0</v>
      </c>
      <c r="G410" s="40"/>
      <c r="H410" s="40"/>
      <c r="I410" s="39"/>
      <c r="J410" s="40"/>
      <c r="K410" s="41"/>
      <c r="L410" s="41"/>
      <c r="M410" s="41">
        <v>1.0</v>
      </c>
      <c r="N410" s="37">
        <f t="shared" si="75"/>
        <v>8</v>
      </c>
      <c r="O410" s="40"/>
      <c r="P410" s="40"/>
      <c r="Q410" s="67">
        <v>1.0</v>
      </c>
      <c r="R410" s="42">
        <f t="shared" si="76"/>
        <v>1</v>
      </c>
      <c r="S410" s="45">
        <f t="shared" si="77"/>
        <v>291</v>
      </c>
      <c r="T410" s="33">
        <f t="shared" si="78"/>
        <v>12</v>
      </c>
      <c r="U410" s="84">
        <v>2.0</v>
      </c>
      <c r="V410" s="3"/>
      <c r="W410" s="3"/>
      <c r="X410" s="3"/>
      <c r="Y410" s="3"/>
      <c r="Z410" s="3"/>
    </row>
    <row r="411">
      <c r="A411" s="48" t="s">
        <v>36</v>
      </c>
      <c r="B411" s="49">
        <f t="shared" si="73"/>
        <v>300</v>
      </c>
      <c r="C411" s="50">
        <v>30.0</v>
      </c>
      <c r="D411" s="51">
        <f t="shared" si="74"/>
        <v>300</v>
      </c>
      <c r="E411" s="74"/>
      <c r="F411" s="74"/>
      <c r="G411" s="53"/>
      <c r="H411" s="53"/>
      <c r="I411" s="68"/>
      <c r="J411" s="53"/>
      <c r="K411" s="52"/>
      <c r="L411" s="52"/>
      <c r="M411" s="74"/>
      <c r="N411" s="51">
        <f t="shared" si="75"/>
        <v>0</v>
      </c>
      <c r="O411" s="53"/>
      <c r="P411" s="53"/>
      <c r="Q411" s="69">
        <v>1.0</v>
      </c>
      <c r="R411" s="56">
        <f t="shared" si="76"/>
        <v>1</v>
      </c>
      <c r="S411" s="57">
        <f t="shared" si="77"/>
        <v>301</v>
      </c>
      <c r="T411" s="33">
        <f t="shared" si="78"/>
        <v>1</v>
      </c>
      <c r="U411" s="84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59"/>
      <c r="F412" s="59"/>
      <c r="G412" s="60"/>
      <c r="H412" s="60"/>
      <c r="I412" s="59"/>
      <c r="J412" s="60"/>
      <c r="K412" s="59"/>
      <c r="L412" s="59"/>
      <c r="M412" s="61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62"/>
      <c r="B413" s="63" t="s">
        <v>37</v>
      </c>
      <c r="C413" s="3"/>
      <c r="D413" s="3"/>
      <c r="E413" s="59"/>
      <c r="F413" s="85"/>
      <c r="G413" s="60"/>
      <c r="H413" s="92"/>
      <c r="I413" s="79"/>
      <c r="J413" s="60"/>
      <c r="K413" s="59"/>
      <c r="L413" s="75"/>
      <c r="M413" s="71"/>
      <c r="N413" s="6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62"/>
      <c r="B414" s="65" t="s">
        <v>206</v>
      </c>
      <c r="C414" s="3"/>
      <c r="D414" s="3"/>
      <c r="E414" s="59"/>
      <c r="F414" s="85"/>
      <c r="G414" s="60"/>
      <c r="H414" s="92"/>
      <c r="I414" s="79"/>
      <c r="J414" s="60"/>
      <c r="K414" s="59"/>
      <c r="L414" s="59"/>
      <c r="M414" s="71"/>
      <c r="N414" s="70" t="s">
        <v>187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62"/>
      <c r="B415" s="65" t="s">
        <v>207</v>
      </c>
      <c r="C415" s="3"/>
      <c r="D415" s="3"/>
      <c r="E415" s="59"/>
      <c r="F415" s="85"/>
      <c r="G415" s="60"/>
      <c r="H415" s="92"/>
      <c r="I415" s="79"/>
      <c r="J415" s="60"/>
      <c r="K415" s="59"/>
      <c r="L415" s="59"/>
      <c r="M415" s="71"/>
      <c r="N415" s="79" t="s">
        <v>208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62"/>
      <c r="B416" s="65" t="s">
        <v>209</v>
      </c>
      <c r="C416" s="3"/>
      <c r="D416" s="3"/>
      <c r="E416" s="59"/>
      <c r="F416" s="85"/>
      <c r="G416" s="60"/>
      <c r="H416" s="92"/>
      <c r="I416" s="79"/>
      <c r="J416" s="60"/>
      <c r="K416" s="59"/>
      <c r="L416" s="59"/>
      <c r="M416" s="71"/>
      <c r="N416" s="6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62"/>
      <c r="B417" s="65" t="s">
        <v>210</v>
      </c>
      <c r="C417" s="3"/>
      <c r="D417" s="3"/>
      <c r="E417" s="59"/>
      <c r="F417" s="85"/>
      <c r="G417" s="60"/>
      <c r="H417" s="92"/>
      <c r="I417" s="79"/>
      <c r="J417" s="60"/>
      <c r="K417" s="59"/>
      <c r="L417" s="59"/>
      <c r="M417" s="71"/>
      <c r="N417" s="6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62"/>
      <c r="B418" s="65" t="s">
        <v>211</v>
      </c>
      <c r="C418" s="3"/>
      <c r="D418" s="3"/>
      <c r="E418" s="59"/>
      <c r="F418" s="85"/>
      <c r="G418" s="60"/>
      <c r="H418" s="92"/>
      <c r="I418" s="79"/>
      <c r="J418" s="60"/>
      <c r="K418" s="59"/>
      <c r="L418" s="59"/>
      <c r="M418" s="71"/>
      <c r="N418" s="6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62"/>
      <c r="B419" s="65" t="s">
        <v>212</v>
      </c>
      <c r="C419" s="3"/>
      <c r="D419" s="3"/>
      <c r="E419" s="59"/>
      <c r="F419" s="85"/>
      <c r="G419" s="60"/>
      <c r="H419" s="92"/>
      <c r="I419" s="79"/>
      <c r="J419" s="60"/>
      <c r="K419" s="59"/>
      <c r="L419" s="59"/>
      <c r="M419" s="71"/>
      <c r="N419" s="6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62"/>
      <c r="B420" s="65" t="s">
        <v>213</v>
      </c>
      <c r="C420" s="3"/>
      <c r="D420" s="3"/>
      <c r="E420" s="59"/>
      <c r="F420" s="85"/>
      <c r="G420" s="60"/>
      <c r="H420" s="64"/>
      <c r="I420" s="79"/>
      <c r="J420" s="60"/>
      <c r="K420" s="59"/>
      <c r="L420" s="94"/>
      <c r="M420" s="71"/>
      <c r="N420" s="90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65" t="s">
        <v>214</v>
      </c>
      <c r="C421" s="3"/>
      <c r="D421" s="3"/>
      <c r="E421" s="59"/>
      <c r="F421" s="59"/>
      <c r="G421" s="60"/>
      <c r="H421" s="60"/>
      <c r="I421" s="59"/>
      <c r="J421" s="60"/>
      <c r="K421" s="59"/>
      <c r="L421" s="59"/>
      <c r="M421" s="72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65" t="s">
        <v>215</v>
      </c>
      <c r="C422" s="3"/>
      <c r="D422" s="3"/>
      <c r="E422" s="59"/>
      <c r="F422" s="59"/>
      <c r="G422" s="60"/>
      <c r="H422" s="60"/>
      <c r="I422" s="59"/>
      <c r="J422" s="60"/>
      <c r="K422" s="59"/>
      <c r="L422" s="70"/>
      <c r="M422" s="61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59"/>
      <c r="F423" s="59"/>
      <c r="G423" s="60"/>
      <c r="H423" s="60"/>
      <c r="I423" s="59"/>
      <c r="J423" s="60"/>
      <c r="K423" s="59"/>
      <c r="L423" s="59"/>
      <c r="M423" s="61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59"/>
      <c r="F424" s="59"/>
      <c r="G424" s="60"/>
      <c r="H424" s="60"/>
      <c r="I424" s="59"/>
      <c r="J424" s="60"/>
      <c r="K424" s="59"/>
      <c r="L424" s="59"/>
      <c r="M424" s="61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" t="s">
        <v>216</v>
      </c>
      <c r="U425" s="2"/>
      <c r="V425" s="3"/>
      <c r="W425" s="3"/>
      <c r="X425" s="3"/>
      <c r="Y425" s="3"/>
      <c r="Z425" s="3"/>
    </row>
    <row r="426">
      <c r="A426" s="1" t="s">
        <v>217</v>
      </c>
      <c r="U426" s="2"/>
      <c r="V426" s="3"/>
      <c r="W426" s="3"/>
      <c r="X426" s="3"/>
      <c r="Y426" s="3"/>
      <c r="Z426" s="3"/>
    </row>
    <row r="427">
      <c r="A427" s="2"/>
      <c r="B427" s="4"/>
      <c r="C427" s="2"/>
      <c r="D427" s="2"/>
      <c r="E427" s="5"/>
      <c r="F427" s="5"/>
      <c r="G427" s="6"/>
      <c r="H427" s="6"/>
      <c r="I427" s="5"/>
      <c r="J427" s="6"/>
      <c r="K427" s="5"/>
      <c r="L427" s="5"/>
      <c r="M427" s="7"/>
      <c r="N427" s="2"/>
      <c r="O427" s="2"/>
      <c r="P427" s="2"/>
      <c r="Q427" s="2"/>
      <c r="R427" s="2"/>
      <c r="S427" s="2"/>
      <c r="T427" s="2"/>
      <c r="U427" s="2"/>
      <c r="V427" s="3"/>
      <c r="W427" s="3"/>
      <c r="X427" s="3"/>
      <c r="Y427" s="3"/>
      <c r="Z427" s="3"/>
    </row>
    <row r="428">
      <c r="A428" s="8" t="s">
        <v>2</v>
      </c>
      <c r="B428" s="9" t="s">
        <v>3</v>
      </c>
      <c r="C428" s="10"/>
      <c r="D428" s="11"/>
      <c r="E428" s="12" t="s">
        <v>4</v>
      </c>
      <c r="F428" s="10"/>
      <c r="G428" s="10"/>
      <c r="H428" s="10"/>
      <c r="I428" s="10"/>
      <c r="J428" s="10"/>
      <c r="K428" s="10"/>
      <c r="L428" s="10"/>
      <c r="M428" s="10"/>
      <c r="N428" s="11"/>
      <c r="O428" s="13" t="s">
        <v>5</v>
      </c>
      <c r="P428" s="10"/>
      <c r="Q428" s="10"/>
      <c r="R428" s="11"/>
      <c r="S428" s="14" t="s">
        <v>6</v>
      </c>
      <c r="T428" s="14" t="s">
        <v>7</v>
      </c>
      <c r="U428" s="6"/>
      <c r="V428" s="3"/>
      <c r="W428" s="3"/>
      <c r="X428" s="3"/>
      <c r="Y428" s="3"/>
      <c r="Z428" s="3"/>
    </row>
    <row r="429">
      <c r="A429" s="15"/>
      <c r="B429" s="16" t="s">
        <v>8</v>
      </c>
      <c r="C429" s="17" t="s">
        <v>9</v>
      </c>
      <c r="D429" s="14" t="s">
        <v>10</v>
      </c>
      <c r="E429" s="17" t="s">
        <v>11</v>
      </c>
      <c r="F429" s="17" t="s">
        <v>12</v>
      </c>
      <c r="G429" s="17" t="s">
        <v>13</v>
      </c>
      <c r="H429" s="17" t="s">
        <v>14</v>
      </c>
      <c r="I429" s="17" t="s">
        <v>15</v>
      </c>
      <c r="J429" s="17" t="s">
        <v>16</v>
      </c>
      <c r="K429" s="17" t="s">
        <v>17</v>
      </c>
      <c r="L429" s="17" t="s">
        <v>18</v>
      </c>
      <c r="M429" s="18" t="s">
        <v>19</v>
      </c>
      <c r="N429" s="14" t="s">
        <v>20</v>
      </c>
      <c r="O429" s="17" t="s">
        <v>21</v>
      </c>
      <c r="P429" s="17" t="s">
        <v>22</v>
      </c>
      <c r="Q429" s="17" t="s">
        <v>23</v>
      </c>
      <c r="R429" s="14" t="s">
        <v>24</v>
      </c>
      <c r="S429" s="19"/>
      <c r="T429" s="19"/>
      <c r="U429" s="6"/>
      <c r="V429" s="3"/>
      <c r="W429" s="3"/>
      <c r="X429" s="3"/>
      <c r="Y429" s="3"/>
      <c r="Z429" s="3"/>
    </row>
    <row r="430">
      <c r="A430" s="20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6"/>
      <c r="V430" s="3"/>
      <c r="W430" s="3"/>
      <c r="X430" s="3"/>
      <c r="Y430" s="3"/>
      <c r="Z430" s="3"/>
    </row>
    <row r="431">
      <c r="A431" s="21">
        <v>10.0</v>
      </c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6"/>
      <c r="V431" s="3"/>
      <c r="W431" s="3"/>
      <c r="X431" s="3"/>
      <c r="Y431" s="3"/>
      <c r="Z431" s="3"/>
    </row>
    <row r="432">
      <c r="A432" s="23" t="s">
        <v>25</v>
      </c>
      <c r="B432" s="24">
        <f t="shared" ref="B432:B443" si="79">300-U432</f>
        <v>300</v>
      </c>
      <c r="C432" s="25">
        <v>30.0</v>
      </c>
      <c r="D432" s="26">
        <f t="shared" ref="D432:D443" si="80">B432</f>
        <v>300</v>
      </c>
      <c r="E432" s="73"/>
      <c r="F432" s="95">
        <v>1.0</v>
      </c>
      <c r="G432" s="29"/>
      <c r="H432" s="29"/>
      <c r="I432" s="73"/>
      <c r="J432" s="29"/>
      <c r="K432" s="73"/>
      <c r="L432" s="27"/>
      <c r="M432" s="73"/>
      <c r="N432" s="26">
        <f t="shared" ref="N432:N443" si="81">SUM(E432:M432)</f>
        <v>1</v>
      </c>
      <c r="O432" s="29"/>
      <c r="P432" s="29"/>
      <c r="Q432" s="83"/>
      <c r="R432" s="31">
        <f t="shared" ref="R432:R443" si="82">SUM(O432:Q432)</f>
        <v>0</v>
      </c>
      <c r="S432" s="32">
        <f t="shared" ref="S432:S443" si="83">D432-N432+R432</f>
        <v>299</v>
      </c>
      <c r="T432" s="33">
        <f t="shared" ref="T432:T443" si="84">RANK(S432,$S$432:$S$443,0)</f>
        <v>8</v>
      </c>
      <c r="U432" s="96">
        <v>0.0</v>
      </c>
      <c r="V432" s="3"/>
      <c r="W432" s="3"/>
      <c r="X432" s="3"/>
      <c r="Y432" s="3"/>
      <c r="Z432" s="3"/>
    </row>
    <row r="433">
      <c r="A433" s="35" t="s">
        <v>26</v>
      </c>
      <c r="B433" s="24">
        <f t="shared" si="79"/>
        <v>297</v>
      </c>
      <c r="C433" s="36">
        <v>30.0</v>
      </c>
      <c r="D433" s="37">
        <f t="shared" si="80"/>
        <v>297</v>
      </c>
      <c r="E433" s="88">
        <v>1.5</v>
      </c>
      <c r="F433" s="41"/>
      <c r="G433" s="46"/>
      <c r="H433" s="40"/>
      <c r="I433" s="39"/>
      <c r="J433" s="40"/>
      <c r="K433" s="41"/>
      <c r="L433" s="38"/>
      <c r="M433" s="41"/>
      <c r="N433" s="37">
        <f t="shared" si="81"/>
        <v>1.5</v>
      </c>
      <c r="O433" s="40"/>
      <c r="P433" s="40"/>
      <c r="Q433" s="67">
        <v>3.5</v>
      </c>
      <c r="R433" s="42">
        <f t="shared" si="82"/>
        <v>3.5</v>
      </c>
      <c r="S433" s="43">
        <f t="shared" si="83"/>
        <v>299</v>
      </c>
      <c r="T433" s="33">
        <f t="shared" si="84"/>
        <v>8</v>
      </c>
      <c r="U433" s="96">
        <v>3.0</v>
      </c>
      <c r="V433" s="3"/>
      <c r="W433" s="3"/>
      <c r="X433" s="3"/>
      <c r="Y433" s="3"/>
      <c r="Z433" s="3"/>
    </row>
    <row r="434">
      <c r="A434" s="35" t="s">
        <v>27</v>
      </c>
      <c r="B434" s="24">
        <f t="shared" si="79"/>
        <v>300</v>
      </c>
      <c r="C434" s="36">
        <v>30.0</v>
      </c>
      <c r="D434" s="37">
        <f t="shared" si="80"/>
        <v>300</v>
      </c>
      <c r="E434" s="41"/>
      <c r="F434" s="39"/>
      <c r="G434" s="40"/>
      <c r="H434" s="40"/>
      <c r="I434" s="88">
        <v>0.5</v>
      </c>
      <c r="J434" s="40"/>
      <c r="K434" s="41"/>
      <c r="L434" s="38"/>
      <c r="M434" s="41"/>
      <c r="N434" s="37">
        <f t="shared" si="81"/>
        <v>0.5</v>
      </c>
      <c r="O434" s="40"/>
      <c r="P434" s="40"/>
      <c r="Q434" s="67"/>
      <c r="R434" s="42">
        <f t="shared" si="82"/>
        <v>0</v>
      </c>
      <c r="S434" s="45">
        <f t="shared" si="83"/>
        <v>299.5</v>
      </c>
      <c r="T434" s="33">
        <f t="shared" si="84"/>
        <v>6</v>
      </c>
      <c r="U434" s="96">
        <v>0.0</v>
      </c>
      <c r="V434" s="3"/>
      <c r="W434" s="3"/>
      <c r="X434" s="3"/>
      <c r="Y434" s="3"/>
      <c r="Z434" s="3"/>
    </row>
    <row r="435">
      <c r="A435" s="35" t="s">
        <v>28</v>
      </c>
      <c r="B435" s="24">
        <f t="shared" si="79"/>
        <v>300</v>
      </c>
      <c r="C435" s="36">
        <v>30.0</v>
      </c>
      <c r="D435" s="37">
        <f t="shared" si="80"/>
        <v>300</v>
      </c>
      <c r="E435" s="41"/>
      <c r="F435" s="88">
        <v>0.5</v>
      </c>
      <c r="G435" s="40"/>
      <c r="H435" s="40"/>
      <c r="I435" s="41"/>
      <c r="J435" s="40"/>
      <c r="K435" s="41"/>
      <c r="L435" s="39"/>
      <c r="M435" s="72"/>
      <c r="N435" s="37">
        <f t="shared" si="81"/>
        <v>0.5</v>
      </c>
      <c r="O435" s="40"/>
      <c r="P435" s="40"/>
      <c r="Q435" s="67"/>
      <c r="R435" s="42">
        <f t="shared" si="82"/>
        <v>0</v>
      </c>
      <c r="S435" s="45">
        <f t="shared" si="83"/>
        <v>299.5</v>
      </c>
      <c r="T435" s="33">
        <f t="shared" si="84"/>
        <v>6</v>
      </c>
      <c r="U435" s="96">
        <v>0.0</v>
      </c>
      <c r="V435" s="3"/>
      <c r="W435" s="3"/>
      <c r="X435" s="3"/>
      <c r="Y435" s="3"/>
      <c r="Z435" s="3"/>
    </row>
    <row r="436">
      <c r="A436" s="35" t="s">
        <v>29</v>
      </c>
      <c r="B436" s="24">
        <f t="shared" si="79"/>
        <v>299</v>
      </c>
      <c r="C436" s="36">
        <v>30.0</v>
      </c>
      <c r="D436" s="37">
        <f t="shared" si="80"/>
        <v>299</v>
      </c>
      <c r="E436" s="41"/>
      <c r="F436" s="88">
        <v>0.5</v>
      </c>
      <c r="G436" s="40"/>
      <c r="H436" s="40"/>
      <c r="I436" s="41"/>
      <c r="J436" s="40"/>
      <c r="K436" s="41"/>
      <c r="L436" s="39"/>
      <c r="M436" s="41"/>
      <c r="N436" s="37">
        <f t="shared" si="81"/>
        <v>0.5</v>
      </c>
      <c r="O436" s="40"/>
      <c r="P436" s="40"/>
      <c r="Q436" s="67"/>
      <c r="R436" s="42">
        <f t="shared" si="82"/>
        <v>0</v>
      </c>
      <c r="S436" s="45">
        <f t="shared" si="83"/>
        <v>298.5</v>
      </c>
      <c r="T436" s="33">
        <f t="shared" si="84"/>
        <v>10</v>
      </c>
      <c r="U436" s="96">
        <v>1.0</v>
      </c>
      <c r="V436" s="3"/>
      <c r="W436" s="3"/>
      <c r="X436" s="3"/>
      <c r="Y436" s="3"/>
      <c r="Z436" s="3"/>
    </row>
    <row r="437">
      <c r="A437" s="35" t="s">
        <v>30</v>
      </c>
      <c r="B437" s="24">
        <f t="shared" si="79"/>
        <v>300</v>
      </c>
      <c r="C437" s="36">
        <v>30.0</v>
      </c>
      <c r="D437" s="37">
        <f t="shared" si="80"/>
        <v>300</v>
      </c>
      <c r="E437" s="88">
        <v>1.5</v>
      </c>
      <c r="F437" s="41"/>
      <c r="G437" s="46"/>
      <c r="H437" s="40"/>
      <c r="I437" s="41"/>
      <c r="J437" s="40"/>
      <c r="K437" s="41"/>
      <c r="L437" s="38"/>
      <c r="M437" s="41"/>
      <c r="N437" s="37">
        <f t="shared" si="81"/>
        <v>1.5</v>
      </c>
      <c r="O437" s="40"/>
      <c r="P437" s="40"/>
      <c r="Q437" s="67"/>
      <c r="R437" s="42">
        <f t="shared" si="82"/>
        <v>0</v>
      </c>
      <c r="S437" s="45">
        <f t="shared" si="83"/>
        <v>298.5</v>
      </c>
      <c r="T437" s="33">
        <f t="shared" si="84"/>
        <v>10</v>
      </c>
      <c r="U437" s="96">
        <v>0.0</v>
      </c>
      <c r="V437" s="3"/>
      <c r="W437" s="3"/>
      <c r="X437" s="3"/>
      <c r="Y437" s="3"/>
      <c r="Z437" s="3"/>
    </row>
    <row r="438">
      <c r="A438" s="35" t="s">
        <v>31</v>
      </c>
      <c r="B438" s="24">
        <f t="shared" si="79"/>
        <v>300</v>
      </c>
      <c r="C438" s="36">
        <v>30.0</v>
      </c>
      <c r="D438" s="37">
        <f t="shared" si="80"/>
        <v>300</v>
      </c>
      <c r="E438" s="38"/>
      <c r="F438" s="88">
        <v>0.5</v>
      </c>
      <c r="G438" s="40"/>
      <c r="H438" s="40"/>
      <c r="I438" s="39"/>
      <c r="J438" s="38"/>
      <c r="K438" s="39"/>
      <c r="L438" s="38"/>
      <c r="M438" s="41"/>
      <c r="N438" s="37">
        <f t="shared" si="81"/>
        <v>0.5</v>
      </c>
      <c r="O438" s="40"/>
      <c r="P438" s="40"/>
      <c r="Q438" s="67">
        <v>1.0</v>
      </c>
      <c r="R438" s="42">
        <f t="shared" si="82"/>
        <v>1</v>
      </c>
      <c r="S438" s="45">
        <f t="shared" si="83"/>
        <v>300.5</v>
      </c>
      <c r="T438" s="33">
        <f t="shared" si="84"/>
        <v>5</v>
      </c>
      <c r="U438" s="96">
        <v>0.0</v>
      </c>
      <c r="V438" s="3"/>
      <c r="W438" s="3"/>
      <c r="X438" s="3"/>
      <c r="Y438" s="3"/>
      <c r="Z438" s="3"/>
    </row>
    <row r="439">
      <c r="A439" s="35" t="s">
        <v>32</v>
      </c>
      <c r="B439" s="24">
        <f t="shared" si="79"/>
        <v>300</v>
      </c>
      <c r="C439" s="36">
        <v>30.0</v>
      </c>
      <c r="D439" s="37">
        <f t="shared" si="80"/>
        <v>300</v>
      </c>
      <c r="E439" s="41"/>
      <c r="F439" s="39"/>
      <c r="G439" s="40"/>
      <c r="H439" s="40"/>
      <c r="I439" s="38"/>
      <c r="J439" s="40"/>
      <c r="K439" s="41"/>
      <c r="L439" s="38"/>
      <c r="M439" s="41"/>
      <c r="N439" s="37">
        <f t="shared" si="81"/>
        <v>0</v>
      </c>
      <c r="O439" s="40"/>
      <c r="P439" s="40"/>
      <c r="Q439" s="67">
        <v>3.0</v>
      </c>
      <c r="R439" s="42">
        <f t="shared" si="82"/>
        <v>3</v>
      </c>
      <c r="S439" s="47">
        <f t="shared" si="83"/>
        <v>303</v>
      </c>
      <c r="T439" s="33">
        <f t="shared" si="84"/>
        <v>1</v>
      </c>
      <c r="U439" s="1">
        <v>0.0</v>
      </c>
      <c r="V439" s="3"/>
      <c r="W439" s="3"/>
      <c r="X439" s="3"/>
      <c r="Y439" s="3"/>
      <c r="Z439" s="3"/>
    </row>
    <row r="440">
      <c r="A440" s="35" t="s">
        <v>33</v>
      </c>
      <c r="B440" s="24">
        <f t="shared" si="79"/>
        <v>300</v>
      </c>
      <c r="C440" s="36">
        <v>30.0</v>
      </c>
      <c r="D440" s="37">
        <f t="shared" si="80"/>
        <v>300</v>
      </c>
      <c r="E440" s="88">
        <v>1.5</v>
      </c>
      <c r="F440" s="41"/>
      <c r="G440" s="40"/>
      <c r="H440" s="40"/>
      <c r="I440" s="41"/>
      <c r="J440" s="38"/>
      <c r="K440" s="41"/>
      <c r="L440" s="41"/>
      <c r="M440" s="41"/>
      <c r="N440" s="37">
        <f t="shared" si="81"/>
        <v>1.5</v>
      </c>
      <c r="O440" s="40"/>
      <c r="P440" s="40"/>
      <c r="Q440" s="67">
        <v>3.0</v>
      </c>
      <c r="R440" s="42">
        <f t="shared" si="82"/>
        <v>3</v>
      </c>
      <c r="S440" s="47">
        <f t="shared" si="83"/>
        <v>301.5</v>
      </c>
      <c r="T440" s="33">
        <f t="shared" si="84"/>
        <v>3</v>
      </c>
      <c r="U440" s="96">
        <v>0.0</v>
      </c>
      <c r="V440" s="3"/>
      <c r="W440" s="3"/>
      <c r="X440" s="3"/>
      <c r="Y440" s="3"/>
      <c r="Z440" s="3"/>
    </row>
    <row r="441">
      <c r="A441" s="35" t="s">
        <v>34</v>
      </c>
      <c r="B441" s="24">
        <f t="shared" si="79"/>
        <v>300</v>
      </c>
      <c r="C441" s="36">
        <v>30.0</v>
      </c>
      <c r="D441" s="37">
        <f t="shared" si="80"/>
        <v>300</v>
      </c>
      <c r="E441" s="41"/>
      <c r="F441" s="88">
        <v>1.0</v>
      </c>
      <c r="G441" s="40"/>
      <c r="H441" s="40"/>
      <c r="I441" s="41"/>
      <c r="J441" s="40"/>
      <c r="K441" s="41"/>
      <c r="L441" s="38"/>
      <c r="M441" s="41"/>
      <c r="N441" s="37">
        <f t="shared" si="81"/>
        <v>1</v>
      </c>
      <c r="O441" s="40"/>
      <c r="P441" s="40"/>
      <c r="Q441" s="67">
        <v>2.0</v>
      </c>
      <c r="R441" s="42">
        <f t="shared" si="82"/>
        <v>2</v>
      </c>
      <c r="S441" s="43">
        <f t="shared" si="83"/>
        <v>301</v>
      </c>
      <c r="T441" s="33">
        <f t="shared" si="84"/>
        <v>4</v>
      </c>
      <c r="U441" s="96">
        <v>0.0</v>
      </c>
      <c r="V441" s="3"/>
      <c r="W441" s="3"/>
      <c r="X441" s="3"/>
      <c r="Y441" s="3"/>
      <c r="Z441" s="3"/>
    </row>
    <row r="442">
      <c r="A442" s="35" t="s">
        <v>35</v>
      </c>
      <c r="B442" s="24">
        <f t="shared" si="79"/>
        <v>300</v>
      </c>
      <c r="C442" s="36">
        <v>30.0</v>
      </c>
      <c r="D442" s="37">
        <f t="shared" si="80"/>
        <v>300</v>
      </c>
      <c r="E442" s="88">
        <v>1.5</v>
      </c>
      <c r="F442" s="41"/>
      <c r="G442" s="40"/>
      <c r="H442" s="40"/>
      <c r="I442" s="39"/>
      <c r="J442" s="40"/>
      <c r="K442" s="41"/>
      <c r="L442" s="41"/>
      <c r="M442" s="41"/>
      <c r="N442" s="37">
        <f t="shared" si="81"/>
        <v>1.5</v>
      </c>
      <c r="O442" s="40"/>
      <c r="P442" s="40"/>
      <c r="Q442" s="67"/>
      <c r="R442" s="42">
        <f t="shared" si="82"/>
        <v>0</v>
      </c>
      <c r="S442" s="45">
        <f t="shared" si="83"/>
        <v>298.5</v>
      </c>
      <c r="T442" s="33">
        <f t="shared" si="84"/>
        <v>10</v>
      </c>
      <c r="U442" s="96">
        <v>0.0</v>
      </c>
      <c r="V442" s="3"/>
      <c r="W442" s="3"/>
      <c r="X442" s="3"/>
      <c r="Y442" s="3"/>
      <c r="Z442" s="3"/>
    </row>
    <row r="443">
      <c r="A443" s="48" t="s">
        <v>36</v>
      </c>
      <c r="B443" s="49">
        <f t="shared" si="79"/>
        <v>300</v>
      </c>
      <c r="C443" s="50">
        <v>30.0</v>
      </c>
      <c r="D443" s="51">
        <f t="shared" si="80"/>
        <v>300</v>
      </c>
      <c r="E443" s="97"/>
      <c r="F443" s="74">
        <v>0.5</v>
      </c>
      <c r="G443" s="53"/>
      <c r="H443" s="53"/>
      <c r="I443" s="68"/>
      <c r="J443" s="53"/>
      <c r="K443" s="52"/>
      <c r="L443" s="52"/>
      <c r="M443" s="74"/>
      <c r="N443" s="51">
        <f t="shared" si="81"/>
        <v>0.5</v>
      </c>
      <c r="O443" s="53"/>
      <c r="P443" s="53"/>
      <c r="Q443" s="69">
        <v>3.0</v>
      </c>
      <c r="R443" s="56">
        <f t="shared" si="82"/>
        <v>3</v>
      </c>
      <c r="S443" s="57">
        <f t="shared" si="83"/>
        <v>302.5</v>
      </c>
      <c r="T443" s="33">
        <f t="shared" si="84"/>
        <v>2</v>
      </c>
      <c r="U443" s="96">
        <v>0.0</v>
      </c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59"/>
      <c r="F444" s="59"/>
      <c r="G444" s="60"/>
      <c r="H444" s="60"/>
      <c r="I444" s="59"/>
      <c r="J444" s="60"/>
      <c r="K444" s="59"/>
      <c r="L444" s="59"/>
      <c r="M444" s="61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62"/>
      <c r="B445" s="63" t="s">
        <v>37</v>
      </c>
      <c r="C445" s="3"/>
      <c r="D445" s="3"/>
      <c r="E445" s="59"/>
      <c r="F445" s="85"/>
      <c r="G445" s="60"/>
      <c r="H445" s="92"/>
      <c r="I445" s="79"/>
      <c r="J445" s="60"/>
      <c r="K445" s="59"/>
      <c r="L445" s="75"/>
      <c r="M445" s="71"/>
      <c r="N445" s="6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62"/>
      <c r="B446" s="65" t="s">
        <v>218</v>
      </c>
      <c r="C446" s="3"/>
      <c r="D446" s="3"/>
      <c r="E446" s="59"/>
      <c r="F446" s="85"/>
      <c r="G446" s="60"/>
      <c r="H446" s="92"/>
      <c r="I446" s="79"/>
      <c r="J446" s="60"/>
      <c r="K446" s="59"/>
      <c r="L446" s="59"/>
      <c r="M446" s="71"/>
      <c r="N446" s="70" t="s">
        <v>219</v>
      </c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62"/>
      <c r="B447" s="65" t="s">
        <v>220</v>
      </c>
      <c r="C447" s="3"/>
      <c r="D447" s="3"/>
      <c r="E447" s="59"/>
      <c r="F447" s="85"/>
      <c r="G447" s="60"/>
      <c r="H447" s="92"/>
      <c r="I447" s="79"/>
      <c r="J447" s="60"/>
      <c r="K447" s="59"/>
      <c r="L447" s="59"/>
      <c r="M447" s="71"/>
      <c r="N447" s="79" t="s">
        <v>221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62"/>
      <c r="B448" s="65" t="s">
        <v>222</v>
      </c>
      <c r="C448" s="3"/>
      <c r="D448" s="3"/>
      <c r="E448" s="59"/>
      <c r="F448" s="85"/>
      <c r="G448" s="60"/>
      <c r="H448" s="92"/>
      <c r="I448" s="79"/>
      <c r="J448" s="60"/>
      <c r="K448" s="59"/>
      <c r="L448" s="59"/>
      <c r="M448" s="71"/>
      <c r="N448" s="79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62"/>
      <c r="B449" s="65" t="s">
        <v>223</v>
      </c>
      <c r="C449" s="3"/>
      <c r="D449" s="3"/>
      <c r="E449" s="59"/>
      <c r="F449" s="85"/>
      <c r="G449" s="60"/>
      <c r="H449" s="92"/>
      <c r="I449" s="79"/>
      <c r="J449" s="60"/>
      <c r="K449" s="59"/>
      <c r="L449" s="59"/>
      <c r="M449" s="71"/>
      <c r="N449" s="85" t="s">
        <v>224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62"/>
      <c r="B450" s="65" t="s">
        <v>225</v>
      </c>
      <c r="C450" s="3"/>
      <c r="D450" s="3"/>
      <c r="E450" s="59"/>
      <c r="F450" s="85"/>
      <c r="G450" s="60"/>
      <c r="H450" s="92"/>
      <c r="I450" s="79"/>
      <c r="J450" s="60"/>
      <c r="K450" s="59"/>
      <c r="L450" s="59"/>
      <c r="M450" s="71"/>
      <c r="N450" s="76" t="s">
        <v>226</v>
      </c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62"/>
      <c r="B451" s="65" t="s">
        <v>227</v>
      </c>
      <c r="C451" s="3"/>
      <c r="D451" s="3"/>
      <c r="E451" s="59"/>
      <c r="F451" s="85"/>
      <c r="G451" s="60"/>
      <c r="H451" s="92"/>
      <c r="I451" s="79"/>
      <c r="J451" s="60"/>
      <c r="K451" s="59"/>
      <c r="L451" s="59"/>
      <c r="M451" s="71"/>
      <c r="N451" s="6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62"/>
      <c r="B452" s="65" t="s">
        <v>228</v>
      </c>
      <c r="C452" s="3"/>
      <c r="D452" s="3"/>
      <c r="E452" s="59"/>
      <c r="F452" s="85"/>
      <c r="G452" s="60"/>
      <c r="H452" s="92"/>
      <c r="I452" s="79"/>
      <c r="J452" s="60"/>
      <c r="K452" s="59"/>
      <c r="L452" s="59"/>
      <c r="M452" s="71"/>
      <c r="N452" s="62" t="s">
        <v>229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62"/>
      <c r="B453" s="65" t="s">
        <v>230</v>
      </c>
      <c r="C453" s="3"/>
      <c r="D453" s="3"/>
      <c r="E453" s="59"/>
      <c r="F453" s="85"/>
      <c r="G453" s="60"/>
      <c r="H453" s="92"/>
      <c r="I453" s="79"/>
      <c r="J453" s="60"/>
      <c r="K453" s="59"/>
      <c r="L453" s="59"/>
      <c r="M453" s="71"/>
      <c r="N453" s="62" t="s">
        <v>231</v>
      </c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62"/>
      <c r="B454" s="65" t="s">
        <v>232</v>
      </c>
      <c r="C454" s="3"/>
      <c r="D454" s="3"/>
      <c r="E454" s="59"/>
      <c r="F454" s="85"/>
      <c r="G454" s="60"/>
      <c r="H454" s="64"/>
      <c r="I454" s="79"/>
      <c r="J454" s="60"/>
      <c r="K454" s="59"/>
      <c r="L454" s="94"/>
      <c r="M454" s="71"/>
      <c r="N454" s="89" t="s">
        <v>233</v>
      </c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65" t="s">
        <v>234</v>
      </c>
      <c r="C455" s="3"/>
      <c r="D455" s="3"/>
      <c r="E455" s="59"/>
      <c r="F455" s="59"/>
      <c r="G455" s="60"/>
      <c r="H455" s="60"/>
      <c r="I455" s="59"/>
      <c r="J455" s="60"/>
      <c r="K455" s="59"/>
      <c r="L455" s="59"/>
      <c r="M455" s="72"/>
      <c r="N455" s="76" t="s">
        <v>235</v>
      </c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65" t="s">
        <v>236</v>
      </c>
      <c r="C456" s="3"/>
      <c r="D456" s="3"/>
      <c r="E456" s="59"/>
      <c r="F456" s="59"/>
      <c r="G456" s="60"/>
      <c r="H456" s="60"/>
      <c r="I456" s="59"/>
      <c r="J456" s="60"/>
      <c r="K456" s="59"/>
      <c r="L456" s="59"/>
      <c r="M456" s="61"/>
      <c r="N456" s="76" t="s">
        <v>237</v>
      </c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59"/>
      <c r="F457" s="59"/>
      <c r="G457" s="60"/>
      <c r="H457" s="60"/>
      <c r="I457" s="59"/>
      <c r="J457" s="60"/>
      <c r="K457" s="59"/>
      <c r="L457" s="59"/>
      <c r="M457" s="61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59"/>
      <c r="F458" s="59"/>
      <c r="G458" s="60"/>
      <c r="H458" s="60"/>
      <c r="I458" s="59"/>
      <c r="J458" s="60"/>
      <c r="K458" s="59"/>
      <c r="L458" s="59"/>
      <c r="M458" s="61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59"/>
      <c r="F459" s="59"/>
      <c r="G459" s="60"/>
      <c r="H459" s="60"/>
      <c r="I459" s="59"/>
      <c r="J459" s="60"/>
      <c r="K459" s="59"/>
      <c r="L459" s="59"/>
      <c r="M459" s="61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59"/>
      <c r="F460" s="59"/>
      <c r="G460" s="60"/>
      <c r="H460" s="60"/>
      <c r="I460" s="59"/>
      <c r="J460" s="60"/>
      <c r="K460" s="59"/>
      <c r="L460" s="59"/>
      <c r="M460" s="61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59"/>
      <c r="F461" s="59"/>
      <c r="G461" s="60"/>
      <c r="H461" s="60"/>
      <c r="I461" s="59"/>
      <c r="J461" s="60"/>
      <c r="K461" s="59"/>
      <c r="L461" s="59"/>
      <c r="M461" s="61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59"/>
      <c r="F462" s="59"/>
      <c r="G462" s="60"/>
      <c r="H462" s="60"/>
      <c r="I462" s="59"/>
      <c r="J462" s="60"/>
      <c r="K462" s="59"/>
      <c r="L462" s="59"/>
      <c r="M462" s="61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59"/>
      <c r="F463" s="59"/>
      <c r="G463" s="60"/>
      <c r="H463" s="60"/>
      <c r="I463" s="59"/>
      <c r="J463" s="60"/>
      <c r="K463" s="59"/>
      <c r="L463" s="59"/>
      <c r="M463" s="61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59"/>
      <c r="F464" s="59"/>
      <c r="G464" s="60"/>
      <c r="H464" s="60"/>
      <c r="I464" s="59"/>
      <c r="J464" s="60"/>
      <c r="K464" s="59"/>
      <c r="L464" s="59"/>
      <c r="M464" s="61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59"/>
      <c r="F465" s="59"/>
      <c r="G465" s="60"/>
      <c r="H465" s="60"/>
      <c r="I465" s="59"/>
      <c r="J465" s="60"/>
      <c r="K465" s="59"/>
      <c r="L465" s="59"/>
      <c r="M465" s="61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59"/>
      <c r="F466" s="59"/>
      <c r="G466" s="60"/>
      <c r="H466" s="60"/>
      <c r="I466" s="59"/>
      <c r="J466" s="60"/>
      <c r="K466" s="59"/>
      <c r="L466" s="59"/>
      <c r="M466" s="61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59"/>
      <c r="F467" s="59"/>
      <c r="G467" s="60"/>
      <c r="H467" s="60"/>
      <c r="I467" s="59"/>
      <c r="J467" s="60"/>
      <c r="K467" s="59"/>
      <c r="L467" s="59"/>
      <c r="M467" s="61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59"/>
      <c r="F468" s="59"/>
      <c r="G468" s="60"/>
      <c r="H468" s="60"/>
      <c r="I468" s="59"/>
      <c r="J468" s="60"/>
      <c r="K468" s="59"/>
      <c r="L468" s="59"/>
      <c r="M468" s="61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59"/>
      <c r="F469" s="59"/>
      <c r="G469" s="60"/>
      <c r="H469" s="60"/>
      <c r="I469" s="59"/>
      <c r="J469" s="60"/>
      <c r="K469" s="59"/>
      <c r="L469" s="59"/>
      <c r="M469" s="61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59"/>
      <c r="F470" s="59"/>
      <c r="G470" s="60"/>
      <c r="H470" s="60"/>
      <c r="I470" s="59"/>
      <c r="J470" s="60"/>
      <c r="K470" s="59"/>
      <c r="L470" s="59"/>
      <c r="M470" s="61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59"/>
      <c r="F471" s="59"/>
      <c r="G471" s="60"/>
      <c r="H471" s="60"/>
      <c r="I471" s="59"/>
      <c r="J471" s="60"/>
      <c r="K471" s="59"/>
      <c r="L471" s="59"/>
      <c r="M471" s="61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59"/>
      <c r="F472" s="59"/>
      <c r="G472" s="60"/>
      <c r="H472" s="60"/>
      <c r="I472" s="59"/>
      <c r="J472" s="60"/>
      <c r="K472" s="59"/>
      <c r="L472" s="59"/>
      <c r="M472" s="61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59"/>
      <c r="F473" s="59"/>
      <c r="G473" s="60"/>
      <c r="H473" s="60"/>
      <c r="I473" s="59"/>
      <c r="J473" s="60"/>
      <c r="K473" s="59"/>
      <c r="L473" s="59"/>
      <c r="M473" s="61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59"/>
      <c r="F474" s="59"/>
      <c r="G474" s="60"/>
      <c r="H474" s="60"/>
      <c r="I474" s="59"/>
      <c r="J474" s="60"/>
      <c r="K474" s="59"/>
      <c r="L474" s="59"/>
      <c r="M474" s="61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59"/>
      <c r="F475" s="59"/>
      <c r="G475" s="60"/>
      <c r="H475" s="60"/>
      <c r="I475" s="59"/>
      <c r="J475" s="60"/>
      <c r="K475" s="59"/>
      <c r="L475" s="59"/>
      <c r="M475" s="61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59"/>
      <c r="F476" s="59"/>
      <c r="G476" s="60"/>
      <c r="H476" s="60"/>
      <c r="I476" s="59"/>
      <c r="J476" s="60"/>
      <c r="K476" s="59"/>
      <c r="L476" s="59"/>
      <c r="M476" s="61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59"/>
      <c r="F477" s="59"/>
      <c r="G477" s="60"/>
      <c r="H477" s="60"/>
      <c r="I477" s="59"/>
      <c r="J477" s="60"/>
      <c r="K477" s="59"/>
      <c r="L477" s="59"/>
      <c r="M477" s="61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59"/>
      <c r="F478" s="59"/>
      <c r="G478" s="60"/>
      <c r="H478" s="60"/>
      <c r="I478" s="59"/>
      <c r="J478" s="60"/>
      <c r="K478" s="59"/>
      <c r="L478" s="59"/>
      <c r="M478" s="61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59"/>
      <c r="F479" s="59"/>
      <c r="G479" s="60"/>
      <c r="H479" s="60"/>
      <c r="I479" s="59"/>
      <c r="J479" s="60"/>
      <c r="K479" s="59"/>
      <c r="L479" s="59"/>
      <c r="M479" s="61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59"/>
      <c r="F480" s="59"/>
      <c r="G480" s="60"/>
      <c r="H480" s="60"/>
      <c r="I480" s="59"/>
      <c r="J480" s="60"/>
      <c r="K480" s="59"/>
      <c r="L480" s="59"/>
      <c r="M480" s="61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59"/>
      <c r="F481" s="59"/>
      <c r="G481" s="60"/>
      <c r="H481" s="60"/>
      <c r="I481" s="59"/>
      <c r="J481" s="60"/>
      <c r="K481" s="59"/>
      <c r="L481" s="59"/>
      <c r="M481" s="61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59"/>
      <c r="F482" s="59"/>
      <c r="G482" s="60"/>
      <c r="H482" s="60"/>
      <c r="I482" s="59"/>
      <c r="J482" s="60"/>
      <c r="K482" s="59"/>
      <c r="L482" s="59"/>
      <c r="M482" s="61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59"/>
      <c r="F483" s="59"/>
      <c r="G483" s="60"/>
      <c r="H483" s="60"/>
      <c r="I483" s="59"/>
      <c r="J483" s="60"/>
      <c r="K483" s="59"/>
      <c r="L483" s="59"/>
      <c r="M483" s="61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59"/>
      <c r="F484" s="59"/>
      <c r="G484" s="60"/>
      <c r="H484" s="60"/>
      <c r="I484" s="59"/>
      <c r="J484" s="60"/>
      <c r="K484" s="59"/>
      <c r="L484" s="59"/>
      <c r="M484" s="61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59"/>
      <c r="F485" s="59"/>
      <c r="G485" s="60"/>
      <c r="H485" s="60"/>
      <c r="I485" s="59"/>
      <c r="J485" s="60"/>
      <c r="K485" s="59"/>
      <c r="L485" s="59"/>
      <c r="M485" s="61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59"/>
      <c r="F486" s="59"/>
      <c r="G486" s="60"/>
      <c r="H486" s="60"/>
      <c r="I486" s="59"/>
      <c r="J486" s="60"/>
      <c r="K486" s="59"/>
      <c r="L486" s="59"/>
      <c r="M486" s="61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59"/>
      <c r="F487" s="59"/>
      <c r="G487" s="60"/>
      <c r="H487" s="60"/>
      <c r="I487" s="59"/>
      <c r="J487" s="60"/>
      <c r="K487" s="59"/>
      <c r="L487" s="59"/>
      <c r="M487" s="61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59"/>
      <c r="F488" s="59"/>
      <c r="G488" s="60"/>
      <c r="H488" s="60"/>
      <c r="I488" s="59"/>
      <c r="J488" s="60"/>
      <c r="K488" s="59"/>
      <c r="L488" s="59"/>
      <c r="M488" s="61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59"/>
      <c r="F489" s="59"/>
      <c r="G489" s="60"/>
      <c r="H489" s="60"/>
      <c r="I489" s="59"/>
      <c r="J489" s="60"/>
      <c r="K489" s="59"/>
      <c r="L489" s="59"/>
      <c r="M489" s="61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59"/>
      <c r="F490" s="59"/>
      <c r="G490" s="60"/>
      <c r="H490" s="60"/>
      <c r="I490" s="59"/>
      <c r="J490" s="60"/>
      <c r="K490" s="59"/>
      <c r="L490" s="59"/>
      <c r="M490" s="61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59"/>
      <c r="F491" s="59"/>
      <c r="G491" s="60"/>
      <c r="H491" s="60"/>
      <c r="I491" s="59"/>
      <c r="J491" s="60"/>
      <c r="K491" s="59"/>
      <c r="L491" s="59"/>
      <c r="M491" s="61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59"/>
      <c r="F492" s="59"/>
      <c r="G492" s="60"/>
      <c r="H492" s="60"/>
      <c r="I492" s="59"/>
      <c r="J492" s="60"/>
      <c r="K492" s="59"/>
      <c r="L492" s="59"/>
      <c r="M492" s="61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59"/>
      <c r="F493" s="59"/>
      <c r="G493" s="60"/>
      <c r="H493" s="60"/>
      <c r="I493" s="59"/>
      <c r="J493" s="60"/>
      <c r="K493" s="59"/>
      <c r="L493" s="59"/>
      <c r="M493" s="61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59"/>
      <c r="F494" s="59"/>
      <c r="G494" s="60"/>
      <c r="H494" s="60"/>
      <c r="I494" s="59"/>
      <c r="J494" s="60"/>
      <c r="K494" s="59"/>
      <c r="L494" s="59"/>
      <c r="M494" s="61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59"/>
      <c r="F495" s="59"/>
      <c r="G495" s="60"/>
      <c r="H495" s="60"/>
      <c r="I495" s="59"/>
      <c r="J495" s="60"/>
      <c r="K495" s="59"/>
      <c r="L495" s="59"/>
      <c r="M495" s="61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59"/>
      <c r="F496" s="59"/>
      <c r="G496" s="60"/>
      <c r="H496" s="60"/>
      <c r="I496" s="59"/>
      <c r="J496" s="60"/>
      <c r="K496" s="59"/>
      <c r="L496" s="59"/>
      <c r="M496" s="61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59"/>
      <c r="F497" s="59"/>
      <c r="G497" s="60"/>
      <c r="H497" s="60"/>
      <c r="I497" s="59"/>
      <c r="J497" s="60"/>
      <c r="K497" s="59"/>
      <c r="L497" s="59"/>
      <c r="M497" s="61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59"/>
      <c r="F498" s="59"/>
      <c r="G498" s="60"/>
      <c r="H498" s="60"/>
      <c r="I498" s="59"/>
      <c r="J498" s="60"/>
      <c r="K498" s="59"/>
      <c r="L498" s="59"/>
      <c r="M498" s="61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59"/>
      <c r="F499" s="59"/>
      <c r="G499" s="60"/>
      <c r="H499" s="60"/>
      <c r="I499" s="59"/>
      <c r="J499" s="60"/>
      <c r="K499" s="59"/>
      <c r="L499" s="59"/>
      <c r="M499" s="61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59"/>
      <c r="F500" s="59"/>
      <c r="G500" s="60"/>
      <c r="H500" s="60"/>
      <c r="I500" s="59"/>
      <c r="J500" s="60"/>
      <c r="K500" s="59"/>
      <c r="L500" s="59"/>
      <c r="M500" s="61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59"/>
      <c r="F501" s="59"/>
      <c r="G501" s="60"/>
      <c r="H501" s="60"/>
      <c r="I501" s="59"/>
      <c r="J501" s="60"/>
      <c r="K501" s="59"/>
      <c r="L501" s="59"/>
      <c r="M501" s="61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59"/>
      <c r="F502" s="59"/>
      <c r="G502" s="60"/>
      <c r="H502" s="60"/>
      <c r="I502" s="59"/>
      <c r="J502" s="60"/>
      <c r="K502" s="59"/>
      <c r="L502" s="59"/>
      <c r="M502" s="61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59"/>
      <c r="F503" s="59"/>
      <c r="G503" s="60"/>
      <c r="H503" s="60"/>
      <c r="I503" s="59"/>
      <c r="J503" s="60"/>
      <c r="K503" s="59"/>
      <c r="L503" s="59"/>
      <c r="M503" s="61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59"/>
      <c r="F504" s="59"/>
      <c r="G504" s="60"/>
      <c r="H504" s="60"/>
      <c r="I504" s="59"/>
      <c r="J504" s="60"/>
      <c r="K504" s="59"/>
      <c r="L504" s="59"/>
      <c r="M504" s="61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59"/>
      <c r="F505" s="59"/>
      <c r="G505" s="60"/>
      <c r="H505" s="60"/>
      <c r="I505" s="59"/>
      <c r="J505" s="60"/>
      <c r="K505" s="59"/>
      <c r="L505" s="59"/>
      <c r="M505" s="61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59"/>
      <c r="F506" s="59"/>
      <c r="G506" s="60"/>
      <c r="H506" s="60"/>
      <c r="I506" s="59"/>
      <c r="J506" s="60"/>
      <c r="K506" s="59"/>
      <c r="L506" s="59"/>
      <c r="M506" s="61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59"/>
      <c r="F507" s="59"/>
      <c r="G507" s="60"/>
      <c r="H507" s="60"/>
      <c r="I507" s="59"/>
      <c r="J507" s="60"/>
      <c r="K507" s="59"/>
      <c r="L507" s="59"/>
      <c r="M507" s="61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59"/>
      <c r="F508" s="59"/>
      <c r="G508" s="60"/>
      <c r="H508" s="60"/>
      <c r="I508" s="59"/>
      <c r="J508" s="60"/>
      <c r="K508" s="59"/>
      <c r="L508" s="59"/>
      <c r="M508" s="61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59"/>
      <c r="F509" s="59"/>
      <c r="G509" s="60"/>
      <c r="H509" s="60"/>
      <c r="I509" s="59"/>
      <c r="J509" s="60"/>
      <c r="K509" s="59"/>
      <c r="L509" s="59"/>
      <c r="M509" s="61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59"/>
      <c r="F510" s="59"/>
      <c r="G510" s="60"/>
      <c r="H510" s="60"/>
      <c r="I510" s="59"/>
      <c r="J510" s="60"/>
      <c r="K510" s="59"/>
      <c r="L510" s="59"/>
      <c r="M510" s="61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59"/>
      <c r="F511" s="59"/>
      <c r="G511" s="60"/>
      <c r="H511" s="60"/>
      <c r="I511" s="59"/>
      <c r="J511" s="60"/>
      <c r="K511" s="59"/>
      <c r="L511" s="59"/>
      <c r="M511" s="61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59"/>
      <c r="F512" s="59"/>
      <c r="G512" s="60"/>
      <c r="H512" s="60"/>
      <c r="I512" s="59"/>
      <c r="J512" s="60"/>
      <c r="K512" s="59"/>
      <c r="L512" s="59"/>
      <c r="M512" s="61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59"/>
      <c r="F513" s="59"/>
      <c r="G513" s="60"/>
      <c r="H513" s="60"/>
      <c r="I513" s="59"/>
      <c r="J513" s="60"/>
      <c r="K513" s="59"/>
      <c r="L513" s="59"/>
      <c r="M513" s="61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59"/>
      <c r="F514" s="59"/>
      <c r="G514" s="60"/>
      <c r="H514" s="60"/>
      <c r="I514" s="59"/>
      <c r="J514" s="60"/>
      <c r="K514" s="59"/>
      <c r="L514" s="59"/>
      <c r="M514" s="61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59"/>
      <c r="F515" s="59"/>
      <c r="G515" s="60"/>
      <c r="H515" s="60"/>
      <c r="I515" s="59"/>
      <c r="J515" s="60"/>
      <c r="K515" s="59"/>
      <c r="L515" s="59"/>
      <c r="M515" s="61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59"/>
      <c r="F516" s="59"/>
      <c r="G516" s="60"/>
      <c r="H516" s="60"/>
      <c r="I516" s="59"/>
      <c r="J516" s="60"/>
      <c r="K516" s="59"/>
      <c r="L516" s="59"/>
      <c r="M516" s="61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59"/>
      <c r="F517" s="59"/>
      <c r="G517" s="60"/>
      <c r="H517" s="60"/>
      <c r="I517" s="59"/>
      <c r="J517" s="60"/>
      <c r="K517" s="59"/>
      <c r="L517" s="59"/>
      <c r="M517" s="61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59"/>
      <c r="F518" s="59"/>
      <c r="G518" s="60"/>
      <c r="H518" s="60"/>
      <c r="I518" s="59"/>
      <c r="J518" s="60"/>
      <c r="K518" s="59"/>
      <c r="L518" s="59"/>
      <c r="M518" s="61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59"/>
      <c r="F519" s="59"/>
      <c r="G519" s="60"/>
      <c r="H519" s="60"/>
      <c r="I519" s="59"/>
      <c r="J519" s="60"/>
      <c r="K519" s="59"/>
      <c r="L519" s="59"/>
      <c r="M519" s="61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59"/>
      <c r="F520" s="59"/>
      <c r="G520" s="60"/>
      <c r="H520" s="60"/>
      <c r="I520" s="59"/>
      <c r="J520" s="60"/>
      <c r="K520" s="59"/>
      <c r="L520" s="59"/>
      <c r="M520" s="61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59"/>
      <c r="F521" s="59"/>
      <c r="G521" s="60"/>
      <c r="H521" s="60"/>
      <c r="I521" s="59"/>
      <c r="J521" s="60"/>
      <c r="K521" s="59"/>
      <c r="L521" s="59"/>
      <c r="M521" s="61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59"/>
      <c r="F522" s="59"/>
      <c r="G522" s="60"/>
      <c r="H522" s="60"/>
      <c r="I522" s="59"/>
      <c r="J522" s="60"/>
      <c r="K522" s="59"/>
      <c r="L522" s="59"/>
      <c r="M522" s="61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59"/>
      <c r="F523" s="59"/>
      <c r="G523" s="60"/>
      <c r="H523" s="60"/>
      <c r="I523" s="59"/>
      <c r="J523" s="60"/>
      <c r="K523" s="59"/>
      <c r="L523" s="59"/>
      <c r="M523" s="61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59"/>
      <c r="F524" s="59"/>
      <c r="G524" s="60"/>
      <c r="H524" s="60"/>
      <c r="I524" s="59"/>
      <c r="J524" s="60"/>
      <c r="K524" s="59"/>
      <c r="L524" s="59"/>
      <c r="M524" s="61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59"/>
      <c r="F525" s="59"/>
      <c r="G525" s="60"/>
      <c r="H525" s="60"/>
      <c r="I525" s="59"/>
      <c r="J525" s="60"/>
      <c r="K525" s="59"/>
      <c r="L525" s="59"/>
      <c r="M525" s="61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59"/>
      <c r="F526" s="59"/>
      <c r="G526" s="60"/>
      <c r="H526" s="60"/>
      <c r="I526" s="59"/>
      <c r="J526" s="60"/>
      <c r="K526" s="59"/>
      <c r="L526" s="59"/>
      <c r="M526" s="61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59"/>
      <c r="F527" s="59"/>
      <c r="G527" s="60"/>
      <c r="H527" s="60"/>
      <c r="I527" s="59"/>
      <c r="J527" s="60"/>
      <c r="K527" s="59"/>
      <c r="L527" s="59"/>
      <c r="M527" s="61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59"/>
      <c r="F528" s="59"/>
      <c r="G528" s="60"/>
      <c r="H528" s="60"/>
      <c r="I528" s="59"/>
      <c r="J528" s="60"/>
      <c r="K528" s="59"/>
      <c r="L528" s="59"/>
      <c r="M528" s="61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59"/>
      <c r="F529" s="59"/>
      <c r="G529" s="60"/>
      <c r="H529" s="60"/>
      <c r="I529" s="59"/>
      <c r="J529" s="60"/>
      <c r="K529" s="59"/>
      <c r="L529" s="59"/>
      <c r="M529" s="61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59"/>
      <c r="F530" s="59"/>
      <c r="G530" s="60"/>
      <c r="H530" s="60"/>
      <c r="I530" s="59"/>
      <c r="J530" s="60"/>
      <c r="K530" s="59"/>
      <c r="L530" s="59"/>
      <c r="M530" s="61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59"/>
      <c r="F531" s="59"/>
      <c r="G531" s="60"/>
      <c r="H531" s="60"/>
      <c r="I531" s="59"/>
      <c r="J531" s="60"/>
      <c r="K531" s="59"/>
      <c r="L531" s="59"/>
      <c r="M531" s="61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59"/>
      <c r="F532" s="59"/>
      <c r="G532" s="60"/>
      <c r="H532" s="60"/>
      <c r="I532" s="59"/>
      <c r="J532" s="60"/>
      <c r="K532" s="59"/>
      <c r="L532" s="59"/>
      <c r="M532" s="61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59"/>
      <c r="F533" s="59"/>
      <c r="G533" s="60"/>
      <c r="H533" s="60"/>
      <c r="I533" s="59"/>
      <c r="J533" s="60"/>
      <c r="K533" s="59"/>
      <c r="L533" s="59"/>
      <c r="M533" s="61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59"/>
      <c r="F534" s="59"/>
      <c r="G534" s="60"/>
      <c r="H534" s="60"/>
      <c r="I534" s="59"/>
      <c r="J534" s="60"/>
      <c r="K534" s="59"/>
      <c r="L534" s="59"/>
      <c r="M534" s="61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59"/>
      <c r="F535" s="59"/>
      <c r="G535" s="60"/>
      <c r="H535" s="60"/>
      <c r="I535" s="59"/>
      <c r="J535" s="60"/>
      <c r="K535" s="59"/>
      <c r="L535" s="59"/>
      <c r="M535" s="61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59"/>
      <c r="F536" s="59"/>
      <c r="G536" s="60"/>
      <c r="H536" s="60"/>
      <c r="I536" s="59"/>
      <c r="J536" s="60"/>
      <c r="K536" s="59"/>
      <c r="L536" s="59"/>
      <c r="M536" s="61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59"/>
      <c r="F537" s="59"/>
      <c r="G537" s="60"/>
      <c r="H537" s="60"/>
      <c r="I537" s="59"/>
      <c r="J537" s="60"/>
      <c r="K537" s="59"/>
      <c r="L537" s="59"/>
      <c r="M537" s="61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59"/>
      <c r="F538" s="59"/>
      <c r="G538" s="60"/>
      <c r="H538" s="60"/>
      <c r="I538" s="59"/>
      <c r="J538" s="60"/>
      <c r="K538" s="59"/>
      <c r="L538" s="59"/>
      <c r="M538" s="61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59"/>
      <c r="F539" s="59"/>
      <c r="G539" s="60"/>
      <c r="H539" s="60"/>
      <c r="I539" s="59"/>
      <c r="J539" s="60"/>
      <c r="K539" s="59"/>
      <c r="L539" s="59"/>
      <c r="M539" s="61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59"/>
      <c r="F540" s="59"/>
      <c r="G540" s="60"/>
      <c r="H540" s="60"/>
      <c r="I540" s="59"/>
      <c r="J540" s="60"/>
      <c r="K540" s="59"/>
      <c r="L540" s="59"/>
      <c r="M540" s="61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59"/>
      <c r="F541" s="59"/>
      <c r="G541" s="60"/>
      <c r="H541" s="60"/>
      <c r="I541" s="59"/>
      <c r="J541" s="60"/>
      <c r="K541" s="59"/>
      <c r="L541" s="59"/>
      <c r="M541" s="61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59"/>
      <c r="F542" s="59"/>
      <c r="G542" s="60"/>
      <c r="H542" s="60"/>
      <c r="I542" s="59"/>
      <c r="J542" s="60"/>
      <c r="K542" s="59"/>
      <c r="L542" s="59"/>
      <c r="M542" s="61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59"/>
      <c r="F543" s="59"/>
      <c r="G543" s="60"/>
      <c r="H543" s="60"/>
      <c r="I543" s="59"/>
      <c r="J543" s="60"/>
      <c r="K543" s="59"/>
      <c r="L543" s="59"/>
      <c r="M543" s="61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59"/>
      <c r="F544" s="59"/>
      <c r="G544" s="60"/>
      <c r="H544" s="60"/>
      <c r="I544" s="59"/>
      <c r="J544" s="60"/>
      <c r="K544" s="59"/>
      <c r="L544" s="59"/>
      <c r="M544" s="61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59"/>
      <c r="F545" s="59"/>
      <c r="G545" s="60"/>
      <c r="H545" s="60"/>
      <c r="I545" s="59"/>
      <c r="J545" s="60"/>
      <c r="K545" s="59"/>
      <c r="L545" s="59"/>
      <c r="M545" s="61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59"/>
      <c r="F546" s="59"/>
      <c r="G546" s="60"/>
      <c r="H546" s="60"/>
      <c r="I546" s="59"/>
      <c r="J546" s="60"/>
      <c r="K546" s="59"/>
      <c r="L546" s="59"/>
      <c r="M546" s="61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59"/>
      <c r="F547" s="59"/>
      <c r="G547" s="60"/>
      <c r="H547" s="60"/>
      <c r="I547" s="59"/>
      <c r="J547" s="60"/>
      <c r="K547" s="59"/>
      <c r="L547" s="59"/>
      <c r="M547" s="61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59"/>
      <c r="F548" s="59"/>
      <c r="G548" s="60"/>
      <c r="H548" s="60"/>
      <c r="I548" s="59"/>
      <c r="J548" s="60"/>
      <c r="K548" s="59"/>
      <c r="L548" s="59"/>
      <c r="M548" s="61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59"/>
      <c r="F549" s="59"/>
      <c r="G549" s="60"/>
      <c r="H549" s="60"/>
      <c r="I549" s="59"/>
      <c r="J549" s="60"/>
      <c r="K549" s="59"/>
      <c r="L549" s="59"/>
      <c r="M549" s="61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59"/>
      <c r="F550" s="59"/>
      <c r="G550" s="60"/>
      <c r="H550" s="60"/>
      <c r="I550" s="59"/>
      <c r="J550" s="60"/>
      <c r="K550" s="59"/>
      <c r="L550" s="59"/>
      <c r="M550" s="61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59"/>
      <c r="F551" s="59"/>
      <c r="G551" s="60"/>
      <c r="H551" s="60"/>
      <c r="I551" s="59"/>
      <c r="J551" s="60"/>
      <c r="K551" s="59"/>
      <c r="L551" s="59"/>
      <c r="M551" s="61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59"/>
      <c r="F552" s="59"/>
      <c r="G552" s="60"/>
      <c r="H552" s="60"/>
      <c r="I552" s="59"/>
      <c r="J552" s="60"/>
      <c r="K552" s="59"/>
      <c r="L552" s="59"/>
      <c r="M552" s="61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59"/>
      <c r="F553" s="59"/>
      <c r="G553" s="60"/>
      <c r="H553" s="60"/>
      <c r="I553" s="59"/>
      <c r="J553" s="60"/>
      <c r="K553" s="59"/>
      <c r="L553" s="59"/>
      <c r="M553" s="61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59"/>
      <c r="F554" s="59"/>
      <c r="G554" s="60"/>
      <c r="H554" s="60"/>
      <c r="I554" s="59"/>
      <c r="J554" s="60"/>
      <c r="K554" s="59"/>
      <c r="L554" s="59"/>
      <c r="M554" s="61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59"/>
      <c r="F555" s="59"/>
      <c r="G555" s="60"/>
      <c r="H555" s="60"/>
      <c r="I555" s="59"/>
      <c r="J555" s="60"/>
      <c r="K555" s="59"/>
      <c r="L555" s="59"/>
      <c r="M555" s="61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59"/>
      <c r="F556" s="59"/>
      <c r="G556" s="60"/>
      <c r="H556" s="60"/>
      <c r="I556" s="59"/>
      <c r="J556" s="60"/>
      <c r="K556" s="59"/>
      <c r="L556" s="59"/>
      <c r="M556" s="61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59"/>
      <c r="F557" s="59"/>
      <c r="G557" s="60"/>
      <c r="H557" s="60"/>
      <c r="I557" s="59"/>
      <c r="J557" s="60"/>
      <c r="K557" s="59"/>
      <c r="L557" s="59"/>
      <c r="M557" s="61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59"/>
      <c r="F558" s="59"/>
      <c r="G558" s="60"/>
      <c r="H558" s="60"/>
      <c r="I558" s="59"/>
      <c r="J558" s="60"/>
      <c r="K558" s="59"/>
      <c r="L558" s="59"/>
      <c r="M558" s="61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59"/>
      <c r="F559" s="59"/>
      <c r="G559" s="60"/>
      <c r="H559" s="60"/>
      <c r="I559" s="59"/>
      <c r="J559" s="60"/>
      <c r="K559" s="59"/>
      <c r="L559" s="59"/>
      <c r="M559" s="61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59"/>
      <c r="F560" s="59"/>
      <c r="G560" s="60"/>
      <c r="H560" s="60"/>
      <c r="I560" s="59"/>
      <c r="J560" s="60"/>
      <c r="K560" s="59"/>
      <c r="L560" s="59"/>
      <c r="M560" s="61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59"/>
      <c r="F561" s="59"/>
      <c r="G561" s="60"/>
      <c r="H561" s="60"/>
      <c r="I561" s="59"/>
      <c r="J561" s="60"/>
      <c r="K561" s="59"/>
      <c r="L561" s="59"/>
      <c r="M561" s="61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59"/>
      <c r="F562" s="59"/>
      <c r="G562" s="60"/>
      <c r="H562" s="60"/>
      <c r="I562" s="59"/>
      <c r="J562" s="60"/>
      <c r="K562" s="59"/>
      <c r="L562" s="59"/>
      <c r="M562" s="61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59"/>
      <c r="F563" s="59"/>
      <c r="G563" s="60"/>
      <c r="H563" s="60"/>
      <c r="I563" s="59"/>
      <c r="J563" s="60"/>
      <c r="K563" s="59"/>
      <c r="L563" s="59"/>
      <c r="M563" s="61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59"/>
      <c r="F564" s="59"/>
      <c r="G564" s="60"/>
      <c r="H564" s="60"/>
      <c r="I564" s="59"/>
      <c r="J564" s="60"/>
      <c r="K564" s="59"/>
      <c r="L564" s="59"/>
      <c r="M564" s="61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59"/>
      <c r="F565" s="59"/>
      <c r="G565" s="60"/>
      <c r="H565" s="60"/>
      <c r="I565" s="59"/>
      <c r="J565" s="60"/>
      <c r="K565" s="59"/>
      <c r="L565" s="59"/>
      <c r="M565" s="61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59"/>
      <c r="F566" s="59"/>
      <c r="G566" s="60"/>
      <c r="H566" s="60"/>
      <c r="I566" s="59"/>
      <c r="J566" s="60"/>
      <c r="K566" s="59"/>
      <c r="L566" s="59"/>
      <c r="M566" s="61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59"/>
      <c r="F567" s="59"/>
      <c r="G567" s="60"/>
      <c r="H567" s="60"/>
      <c r="I567" s="59"/>
      <c r="J567" s="60"/>
      <c r="K567" s="59"/>
      <c r="L567" s="59"/>
      <c r="M567" s="61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59"/>
      <c r="F568" s="59"/>
      <c r="G568" s="60"/>
      <c r="H568" s="60"/>
      <c r="I568" s="59"/>
      <c r="J568" s="60"/>
      <c r="K568" s="59"/>
      <c r="L568" s="59"/>
      <c r="M568" s="61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59"/>
      <c r="F569" s="59"/>
      <c r="G569" s="60"/>
      <c r="H569" s="60"/>
      <c r="I569" s="59"/>
      <c r="J569" s="60"/>
      <c r="K569" s="59"/>
      <c r="L569" s="59"/>
      <c r="M569" s="61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59"/>
      <c r="F570" s="59"/>
      <c r="G570" s="60"/>
      <c r="H570" s="60"/>
      <c r="I570" s="59"/>
      <c r="J570" s="60"/>
      <c r="K570" s="59"/>
      <c r="L570" s="59"/>
      <c r="M570" s="61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59"/>
      <c r="F571" s="59"/>
      <c r="G571" s="60"/>
      <c r="H571" s="60"/>
      <c r="I571" s="59"/>
      <c r="J571" s="60"/>
      <c r="K571" s="59"/>
      <c r="L571" s="59"/>
      <c r="M571" s="61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59"/>
      <c r="F572" s="59"/>
      <c r="G572" s="60"/>
      <c r="H572" s="60"/>
      <c r="I572" s="59"/>
      <c r="J572" s="60"/>
      <c r="K572" s="59"/>
      <c r="L572" s="59"/>
      <c r="M572" s="61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59"/>
      <c r="F573" s="59"/>
      <c r="G573" s="60"/>
      <c r="H573" s="60"/>
      <c r="I573" s="59"/>
      <c r="J573" s="60"/>
      <c r="K573" s="59"/>
      <c r="L573" s="59"/>
      <c r="M573" s="61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59"/>
      <c r="F574" s="59"/>
      <c r="G574" s="60"/>
      <c r="H574" s="60"/>
      <c r="I574" s="59"/>
      <c r="J574" s="60"/>
      <c r="K574" s="59"/>
      <c r="L574" s="59"/>
      <c r="M574" s="61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59"/>
      <c r="F575" s="59"/>
      <c r="G575" s="60"/>
      <c r="H575" s="60"/>
      <c r="I575" s="59"/>
      <c r="J575" s="60"/>
      <c r="K575" s="59"/>
      <c r="L575" s="59"/>
      <c r="M575" s="61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59"/>
      <c r="F576" s="59"/>
      <c r="G576" s="60"/>
      <c r="H576" s="60"/>
      <c r="I576" s="59"/>
      <c r="J576" s="60"/>
      <c r="K576" s="59"/>
      <c r="L576" s="59"/>
      <c r="M576" s="61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59"/>
      <c r="F577" s="59"/>
      <c r="G577" s="60"/>
      <c r="H577" s="60"/>
      <c r="I577" s="59"/>
      <c r="J577" s="60"/>
      <c r="K577" s="59"/>
      <c r="L577" s="59"/>
      <c r="M577" s="61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59"/>
      <c r="F578" s="59"/>
      <c r="G578" s="60"/>
      <c r="H578" s="60"/>
      <c r="I578" s="59"/>
      <c r="J578" s="60"/>
      <c r="K578" s="59"/>
      <c r="L578" s="59"/>
      <c r="M578" s="61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59"/>
      <c r="F579" s="59"/>
      <c r="G579" s="60"/>
      <c r="H579" s="60"/>
      <c r="I579" s="59"/>
      <c r="J579" s="60"/>
      <c r="K579" s="59"/>
      <c r="L579" s="59"/>
      <c r="M579" s="61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59"/>
      <c r="F580" s="59"/>
      <c r="G580" s="60"/>
      <c r="H580" s="60"/>
      <c r="I580" s="59"/>
      <c r="J580" s="60"/>
      <c r="K580" s="59"/>
      <c r="L580" s="59"/>
      <c r="M580" s="61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59"/>
      <c r="F581" s="59"/>
      <c r="G581" s="60"/>
      <c r="H581" s="60"/>
      <c r="I581" s="59"/>
      <c r="J581" s="60"/>
      <c r="K581" s="59"/>
      <c r="L581" s="59"/>
      <c r="M581" s="61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59"/>
      <c r="F582" s="59"/>
      <c r="G582" s="60"/>
      <c r="H582" s="60"/>
      <c r="I582" s="59"/>
      <c r="J582" s="60"/>
      <c r="K582" s="59"/>
      <c r="L582" s="59"/>
      <c r="M582" s="61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59"/>
      <c r="F583" s="59"/>
      <c r="G583" s="60"/>
      <c r="H583" s="60"/>
      <c r="I583" s="59"/>
      <c r="J583" s="60"/>
      <c r="K583" s="59"/>
      <c r="L583" s="59"/>
      <c r="M583" s="61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59"/>
      <c r="F584" s="59"/>
      <c r="G584" s="60"/>
      <c r="H584" s="60"/>
      <c r="I584" s="59"/>
      <c r="J584" s="60"/>
      <c r="K584" s="59"/>
      <c r="L584" s="59"/>
      <c r="M584" s="61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59"/>
      <c r="F585" s="59"/>
      <c r="G585" s="60"/>
      <c r="H585" s="60"/>
      <c r="I585" s="59"/>
      <c r="J585" s="60"/>
      <c r="K585" s="59"/>
      <c r="L585" s="59"/>
      <c r="M585" s="61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59"/>
      <c r="F586" s="59"/>
      <c r="G586" s="60"/>
      <c r="H586" s="60"/>
      <c r="I586" s="59"/>
      <c r="J586" s="60"/>
      <c r="K586" s="59"/>
      <c r="L586" s="59"/>
      <c r="M586" s="61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59"/>
      <c r="F587" s="59"/>
      <c r="G587" s="60"/>
      <c r="H587" s="60"/>
      <c r="I587" s="59"/>
      <c r="J587" s="60"/>
      <c r="K587" s="59"/>
      <c r="L587" s="59"/>
      <c r="M587" s="61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59"/>
      <c r="F588" s="59"/>
      <c r="G588" s="60"/>
      <c r="H588" s="60"/>
      <c r="I588" s="59"/>
      <c r="J588" s="60"/>
      <c r="K588" s="59"/>
      <c r="L588" s="59"/>
      <c r="M588" s="61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59"/>
      <c r="F589" s="59"/>
      <c r="G589" s="60"/>
      <c r="H589" s="60"/>
      <c r="I589" s="59"/>
      <c r="J589" s="60"/>
      <c r="K589" s="59"/>
      <c r="L589" s="59"/>
      <c r="M589" s="61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59"/>
      <c r="F590" s="59"/>
      <c r="G590" s="60"/>
      <c r="H590" s="60"/>
      <c r="I590" s="59"/>
      <c r="J590" s="60"/>
      <c r="K590" s="59"/>
      <c r="L590" s="59"/>
      <c r="M590" s="61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59"/>
      <c r="F591" s="59"/>
      <c r="G591" s="60"/>
      <c r="H591" s="60"/>
      <c r="I591" s="59"/>
      <c r="J591" s="60"/>
      <c r="K591" s="59"/>
      <c r="L591" s="59"/>
      <c r="M591" s="61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59"/>
      <c r="F592" s="59"/>
      <c r="G592" s="60"/>
      <c r="H592" s="60"/>
      <c r="I592" s="59"/>
      <c r="J592" s="60"/>
      <c r="K592" s="59"/>
      <c r="L592" s="59"/>
      <c r="M592" s="61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59"/>
      <c r="F593" s="59"/>
      <c r="G593" s="60"/>
      <c r="H593" s="60"/>
      <c r="I593" s="59"/>
      <c r="J593" s="60"/>
      <c r="K593" s="59"/>
      <c r="L593" s="59"/>
      <c r="M593" s="61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59"/>
      <c r="F594" s="59"/>
      <c r="G594" s="60"/>
      <c r="H594" s="60"/>
      <c r="I594" s="59"/>
      <c r="J594" s="60"/>
      <c r="K594" s="59"/>
      <c r="L594" s="59"/>
      <c r="M594" s="61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59"/>
      <c r="F595" s="59"/>
      <c r="G595" s="60"/>
      <c r="H595" s="60"/>
      <c r="I595" s="59"/>
      <c r="J595" s="60"/>
      <c r="K595" s="59"/>
      <c r="L595" s="59"/>
      <c r="M595" s="61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59"/>
      <c r="F596" s="59"/>
      <c r="G596" s="60"/>
      <c r="H596" s="60"/>
      <c r="I596" s="59"/>
      <c r="J596" s="60"/>
      <c r="K596" s="59"/>
      <c r="L596" s="59"/>
      <c r="M596" s="61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59"/>
      <c r="F597" s="59"/>
      <c r="G597" s="60"/>
      <c r="H597" s="60"/>
      <c r="I597" s="59"/>
      <c r="J597" s="60"/>
      <c r="K597" s="59"/>
      <c r="L597" s="59"/>
      <c r="M597" s="61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59"/>
      <c r="F598" s="59"/>
      <c r="G598" s="60"/>
      <c r="H598" s="60"/>
      <c r="I598" s="59"/>
      <c r="J598" s="60"/>
      <c r="K598" s="59"/>
      <c r="L598" s="59"/>
      <c r="M598" s="61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59"/>
      <c r="F599" s="59"/>
      <c r="G599" s="60"/>
      <c r="H599" s="60"/>
      <c r="I599" s="59"/>
      <c r="J599" s="60"/>
      <c r="K599" s="59"/>
      <c r="L599" s="59"/>
      <c r="M599" s="61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59"/>
      <c r="F600" s="59"/>
      <c r="G600" s="60"/>
      <c r="H600" s="60"/>
      <c r="I600" s="59"/>
      <c r="J600" s="60"/>
      <c r="K600" s="59"/>
      <c r="L600" s="59"/>
      <c r="M600" s="61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59"/>
      <c r="F601" s="59"/>
      <c r="G601" s="60"/>
      <c r="H601" s="60"/>
      <c r="I601" s="59"/>
      <c r="J601" s="60"/>
      <c r="K601" s="59"/>
      <c r="L601" s="59"/>
      <c r="M601" s="61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59"/>
      <c r="F602" s="59"/>
      <c r="G602" s="60"/>
      <c r="H602" s="60"/>
      <c r="I602" s="59"/>
      <c r="J602" s="60"/>
      <c r="K602" s="59"/>
      <c r="L602" s="59"/>
      <c r="M602" s="61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59"/>
      <c r="F603" s="59"/>
      <c r="G603" s="60"/>
      <c r="H603" s="60"/>
      <c r="I603" s="59"/>
      <c r="J603" s="60"/>
      <c r="K603" s="59"/>
      <c r="L603" s="59"/>
      <c r="M603" s="61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59"/>
      <c r="F604" s="59"/>
      <c r="G604" s="60"/>
      <c r="H604" s="60"/>
      <c r="I604" s="59"/>
      <c r="J604" s="60"/>
      <c r="K604" s="59"/>
      <c r="L604" s="59"/>
      <c r="M604" s="61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59"/>
      <c r="F605" s="59"/>
      <c r="G605" s="60"/>
      <c r="H605" s="60"/>
      <c r="I605" s="59"/>
      <c r="J605" s="60"/>
      <c r="K605" s="59"/>
      <c r="L605" s="59"/>
      <c r="M605" s="61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59"/>
      <c r="F606" s="59"/>
      <c r="G606" s="60"/>
      <c r="H606" s="60"/>
      <c r="I606" s="59"/>
      <c r="J606" s="60"/>
      <c r="K606" s="59"/>
      <c r="L606" s="59"/>
      <c r="M606" s="61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59"/>
      <c r="F607" s="59"/>
      <c r="G607" s="60"/>
      <c r="H607" s="60"/>
      <c r="I607" s="59"/>
      <c r="J607" s="60"/>
      <c r="K607" s="59"/>
      <c r="L607" s="59"/>
      <c r="M607" s="61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59"/>
      <c r="F608" s="59"/>
      <c r="G608" s="60"/>
      <c r="H608" s="60"/>
      <c r="I608" s="59"/>
      <c r="J608" s="60"/>
      <c r="K608" s="59"/>
      <c r="L608" s="59"/>
      <c r="M608" s="61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59"/>
      <c r="F609" s="59"/>
      <c r="G609" s="60"/>
      <c r="H609" s="60"/>
      <c r="I609" s="59"/>
      <c r="J609" s="60"/>
      <c r="K609" s="59"/>
      <c r="L609" s="59"/>
      <c r="M609" s="61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59"/>
      <c r="F610" s="59"/>
      <c r="G610" s="60"/>
      <c r="H610" s="60"/>
      <c r="I610" s="59"/>
      <c r="J610" s="60"/>
      <c r="K610" s="59"/>
      <c r="L610" s="59"/>
      <c r="M610" s="61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59"/>
      <c r="F611" s="59"/>
      <c r="G611" s="60"/>
      <c r="H611" s="60"/>
      <c r="I611" s="59"/>
      <c r="J611" s="60"/>
      <c r="K611" s="59"/>
      <c r="L611" s="59"/>
      <c r="M611" s="61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59"/>
      <c r="F612" s="59"/>
      <c r="G612" s="60"/>
      <c r="H612" s="60"/>
      <c r="I612" s="59"/>
      <c r="J612" s="60"/>
      <c r="K612" s="59"/>
      <c r="L612" s="59"/>
      <c r="M612" s="61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59"/>
      <c r="F613" s="59"/>
      <c r="G613" s="60"/>
      <c r="H613" s="60"/>
      <c r="I613" s="59"/>
      <c r="J613" s="60"/>
      <c r="K613" s="59"/>
      <c r="L613" s="59"/>
      <c r="M613" s="61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59"/>
      <c r="F614" s="59"/>
      <c r="G614" s="60"/>
      <c r="H614" s="60"/>
      <c r="I614" s="59"/>
      <c r="J614" s="60"/>
      <c r="K614" s="59"/>
      <c r="L614" s="59"/>
      <c r="M614" s="61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59"/>
      <c r="F615" s="59"/>
      <c r="G615" s="60"/>
      <c r="H615" s="60"/>
      <c r="I615" s="59"/>
      <c r="J615" s="60"/>
      <c r="K615" s="59"/>
      <c r="L615" s="59"/>
      <c r="M615" s="61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59"/>
      <c r="F616" s="59"/>
      <c r="G616" s="60"/>
      <c r="H616" s="60"/>
      <c r="I616" s="59"/>
      <c r="J616" s="60"/>
      <c r="K616" s="59"/>
      <c r="L616" s="59"/>
      <c r="M616" s="61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59"/>
      <c r="F617" s="59"/>
      <c r="G617" s="60"/>
      <c r="H617" s="60"/>
      <c r="I617" s="59"/>
      <c r="J617" s="60"/>
      <c r="K617" s="59"/>
      <c r="L617" s="59"/>
      <c r="M617" s="61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59"/>
      <c r="F618" s="59"/>
      <c r="G618" s="60"/>
      <c r="H618" s="60"/>
      <c r="I618" s="59"/>
      <c r="J618" s="60"/>
      <c r="K618" s="59"/>
      <c r="L618" s="59"/>
      <c r="M618" s="61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59"/>
      <c r="F619" s="59"/>
      <c r="G619" s="60"/>
      <c r="H619" s="60"/>
      <c r="I619" s="59"/>
      <c r="J619" s="60"/>
      <c r="K619" s="59"/>
      <c r="L619" s="59"/>
      <c r="M619" s="61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59"/>
      <c r="F620" s="59"/>
      <c r="G620" s="60"/>
      <c r="H620" s="60"/>
      <c r="I620" s="59"/>
      <c r="J620" s="60"/>
      <c r="K620" s="59"/>
      <c r="L620" s="59"/>
      <c r="M620" s="61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59"/>
      <c r="F621" s="59"/>
      <c r="G621" s="60"/>
      <c r="H621" s="60"/>
      <c r="I621" s="59"/>
      <c r="J621" s="60"/>
      <c r="K621" s="59"/>
      <c r="L621" s="59"/>
      <c r="M621" s="61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59"/>
      <c r="F622" s="59"/>
      <c r="G622" s="60"/>
      <c r="H622" s="60"/>
      <c r="I622" s="59"/>
      <c r="J622" s="60"/>
      <c r="K622" s="59"/>
      <c r="L622" s="59"/>
      <c r="M622" s="61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59"/>
      <c r="F623" s="59"/>
      <c r="G623" s="60"/>
      <c r="H623" s="60"/>
      <c r="I623" s="59"/>
      <c r="J623" s="60"/>
      <c r="K623" s="59"/>
      <c r="L623" s="59"/>
      <c r="M623" s="61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59"/>
      <c r="F624" s="59"/>
      <c r="G624" s="60"/>
      <c r="H624" s="60"/>
      <c r="I624" s="59"/>
      <c r="J624" s="60"/>
      <c r="K624" s="59"/>
      <c r="L624" s="59"/>
      <c r="M624" s="61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59"/>
      <c r="F625" s="59"/>
      <c r="G625" s="60"/>
      <c r="H625" s="60"/>
      <c r="I625" s="59"/>
      <c r="J625" s="60"/>
      <c r="K625" s="59"/>
      <c r="L625" s="59"/>
      <c r="M625" s="61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59"/>
      <c r="F626" s="59"/>
      <c r="G626" s="60"/>
      <c r="H626" s="60"/>
      <c r="I626" s="59"/>
      <c r="J626" s="60"/>
      <c r="K626" s="59"/>
      <c r="L626" s="59"/>
      <c r="M626" s="61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59"/>
      <c r="F627" s="59"/>
      <c r="G627" s="60"/>
      <c r="H627" s="60"/>
      <c r="I627" s="59"/>
      <c r="J627" s="60"/>
      <c r="K627" s="59"/>
      <c r="L627" s="59"/>
      <c r="M627" s="61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59"/>
      <c r="F628" s="59"/>
      <c r="G628" s="60"/>
      <c r="H628" s="60"/>
      <c r="I628" s="59"/>
      <c r="J628" s="60"/>
      <c r="K628" s="59"/>
      <c r="L628" s="59"/>
      <c r="M628" s="61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59"/>
      <c r="F629" s="59"/>
      <c r="G629" s="60"/>
      <c r="H629" s="60"/>
      <c r="I629" s="59"/>
      <c r="J629" s="60"/>
      <c r="K629" s="59"/>
      <c r="L629" s="59"/>
      <c r="M629" s="61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59"/>
      <c r="F630" s="59"/>
      <c r="G630" s="60"/>
      <c r="H630" s="60"/>
      <c r="I630" s="59"/>
      <c r="J630" s="60"/>
      <c r="K630" s="59"/>
      <c r="L630" s="59"/>
      <c r="M630" s="61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59"/>
      <c r="F631" s="59"/>
      <c r="G631" s="60"/>
      <c r="H631" s="60"/>
      <c r="I631" s="59"/>
      <c r="J631" s="60"/>
      <c r="K631" s="59"/>
      <c r="L631" s="59"/>
      <c r="M631" s="61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59"/>
      <c r="F632" s="59"/>
      <c r="G632" s="60"/>
      <c r="H632" s="60"/>
      <c r="I632" s="59"/>
      <c r="J632" s="60"/>
      <c r="K632" s="59"/>
      <c r="L632" s="59"/>
      <c r="M632" s="61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59"/>
      <c r="F633" s="59"/>
      <c r="G633" s="60"/>
      <c r="H633" s="60"/>
      <c r="I633" s="59"/>
      <c r="J633" s="60"/>
      <c r="K633" s="59"/>
      <c r="L633" s="59"/>
      <c r="M633" s="61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59"/>
      <c r="F634" s="59"/>
      <c r="G634" s="60"/>
      <c r="H634" s="60"/>
      <c r="I634" s="59"/>
      <c r="J634" s="60"/>
      <c r="K634" s="59"/>
      <c r="L634" s="59"/>
      <c r="M634" s="61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59"/>
      <c r="F635" s="59"/>
      <c r="G635" s="60"/>
      <c r="H635" s="60"/>
      <c r="I635" s="59"/>
      <c r="J635" s="60"/>
      <c r="K635" s="59"/>
      <c r="L635" s="59"/>
      <c r="M635" s="61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59"/>
      <c r="F636" s="59"/>
      <c r="G636" s="60"/>
      <c r="H636" s="60"/>
      <c r="I636" s="59"/>
      <c r="J636" s="60"/>
      <c r="K636" s="59"/>
      <c r="L636" s="59"/>
      <c r="M636" s="61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59"/>
      <c r="F637" s="59"/>
      <c r="G637" s="60"/>
      <c r="H637" s="60"/>
      <c r="I637" s="59"/>
      <c r="J637" s="60"/>
      <c r="K637" s="59"/>
      <c r="L637" s="59"/>
      <c r="M637" s="61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59"/>
      <c r="F638" s="59"/>
      <c r="G638" s="60"/>
      <c r="H638" s="60"/>
      <c r="I638" s="59"/>
      <c r="J638" s="60"/>
      <c r="K638" s="59"/>
      <c r="L638" s="59"/>
      <c r="M638" s="61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59"/>
      <c r="F639" s="59"/>
      <c r="G639" s="60"/>
      <c r="H639" s="60"/>
      <c r="I639" s="59"/>
      <c r="J639" s="60"/>
      <c r="K639" s="59"/>
      <c r="L639" s="59"/>
      <c r="M639" s="61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59"/>
      <c r="F640" s="59"/>
      <c r="G640" s="60"/>
      <c r="H640" s="60"/>
      <c r="I640" s="59"/>
      <c r="J640" s="60"/>
      <c r="K640" s="59"/>
      <c r="L640" s="59"/>
      <c r="M640" s="61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59"/>
      <c r="F641" s="59"/>
      <c r="G641" s="60"/>
      <c r="H641" s="60"/>
      <c r="I641" s="59"/>
      <c r="J641" s="60"/>
      <c r="K641" s="59"/>
      <c r="L641" s="59"/>
      <c r="M641" s="61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59"/>
      <c r="F642" s="59"/>
      <c r="G642" s="60"/>
      <c r="H642" s="60"/>
      <c r="I642" s="59"/>
      <c r="J642" s="60"/>
      <c r="K642" s="59"/>
      <c r="L642" s="59"/>
      <c r="M642" s="61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59"/>
      <c r="F643" s="59"/>
      <c r="G643" s="60"/>
      <c r="H643" s="60"/>
      <c r="I643" s="59"/>
      <c r="J643" s="60"/>
      <c r="K643" s="59"/>
      <c r="L643" s="59"/>
      <c r="M643" s="61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59"/>
      <c r="F644" s="59"/>
      <c r="G644" s="60"/>
      <c r="H644" s="60"/>
      <c r="I644" s="59"/>
      <c r="J644" s="60"/>
      <c r="K644" s="59"/>
      <c r="L644" s="59"/>
      <c r="M644" s="61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59"/>
      <c r="F645" s="59"/>
      <c r="G645" s="60"/>
      <c r="H645" s="60"/>
      <c r="I645" s="59"/>
      <c r="J645" s="60"/>
      <c r="K645" s="59"/>
      <c r="L645" s="59"/>
      <c r="M645" s="61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59"/>
      <c r="F646" s="59"/>
      <c r="G646" s="60"/>
      <c r="H646" s="60"/>
      <c r="I646" s="59"/>
      <c r="J646" s="60"/>
      <c r="K646" s="59"/>
      <c r="L646" s="59"/>
      <c r="M646" s="61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59"/>
      <c r="F647" s="59"/>
      <c r="G647" s="60"/>
      <c r="H647" s="60"/>
      <c r="I647" s="59"/>
      <c r="J647" s="60"/>
      <c r="K647" s="59"/>
      <c r="L647" s="59"/>
      <c r="M647" s="61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59"/>
      <c r="F648" s="59"/>
      <c r="G648" s="60"/>
      <c r="H648" s="60"/>
      <c r="I648" s="59"/>
      <c r="J648" s="60"/>
      <c r="K648" s="59"/>
      <c r="L648" s="59"/>
      <c r="M648" s="61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59"/>
      <c r="F649" s="59"/>
      <c r="G649" s="60"/>
      <c r="H649" s="60"/>
      <c r="I649" s="59"/>
      <c r="J649" s="60"/>
      <c r="K649" s="59"/>
      <c r="L649" s="59"/>
      <c r="M649" s="61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59"/>
      <c r="F650" s="59"/>
      <c r="G650" s="60"/>
      <c r="H650" s="60"/>
      <c r="I650" s="59"/>
      <c r="J650" s="60"/>
      <c r="K650" s="59"/>
      <c r="L650" s="59"/>
      <c r="M650" s="61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59"/>
      <c r="F651" s="59"/>
      <c r="G651" s="60"/>
      <c r="H651" s="60"/>
      <c r="I651" s="59"/>
      <c r="J651" s="60"/>
      <c r="K651" s="59"/>
      <c r="L651" s="59"/>
      <c r="M651" s="61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59"/>
      <c r="F652" s="59"/>
      <c r="G652" s="60"/>
      <c r="H652" s="60"/>
      <c r="I652" s="59"/>
      <c r="J652" s="60"/>
      <c r="K652" s="59"/>
      <c r="L652" s="59"/>
      <c r="M652" s="61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59"/>
      <c r="F653" s="59"/>
      <c r="G653" s="60"/>
      <c r="H653" s="60"/>
      <c r="I653" s="59"/>
      <c r="J653" s="60"/>
      <c r="K653" s="59"/>
      <c r="L653" s="59"/>
      <c r="M653" s="61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59"/>
      <c r="F654" s="59"/>
      <c r="G654" s="60"/>
      <c r="H654" s="60"/>
      <c r="I654" s="59"/>
      <c r="J654" s="60"/>
      <c r="K654" s="59"/>
      <c r="L654" s="59"/>
      <c r="M654" s="61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59"/>
      <c r="F655" s="59"/>
      <c r="G655" s="60"/>
      <c r="H655" s="60"/>
      <c r="I655" s="59"/>
      <c r="J655" s="60"/>
      <c r="K655" s="59"/>
      <c r="L655" s="59"/>
      <c r="M655" s="61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59"/>
      <c r="F656" s="59"/>
      <c r="G656" s="60"/>
      <c r="H656" s="60"/>
      <c r="I656" s="59"/>
      <c r="J656" s="60"/>
      <c r="K656" s="59"/>
      <c r="L656" s="59"/>
      <c r="M656" s="61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59"/>
      <c r="F657" s="59"/>
      <c r="G657" s="60"/>
      <c r="H657" s="60"/>
      <c r="I657" s="59"/>
      <c r="J657" s="60"/>
      <c r="K657" s="59"/>
      <c r="L657" s="59"/>
      <c r="M657" s="61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59"/>
      <c r="F658" s="59"/>
      <c r="G658" s="60"/>
      <c r="H658" s="60"/>
      <c r="I658" s="59"/>
      <c r="J658" s="60"/>
      <c r="K658" s="59"/>
      <c r="L658" s="59"/>
      <c r="M658" s="61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59"/>
      <c r="F659" s="59"/>
      <c r="G659" s="60"/>
      <c r="H659" s="60"/>
      <c r="I659" s="59"/>
      <c r="J659" s="60"/>
      <c r="K659" s="59"/>
      <c r="L659" s="59"/>
      <c r="M659" s="61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59"/>
      <c r="F660" s="59"/>
      <c r="G660" s="60"/>
      <c r="H660" s="60"/>
      <c r="I660" s="59"/>
      <c r="J660" s="60"/>
      <c r="K660" s="59"/>
      <c r="L660" s="59"/>
      <c r="M660" s="61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59"/>
      <c r="F661" s="59"/>
      <c r="G661" s="60"/>
      <c r="H661" s="60"/>
      <c r="I661" s="59"/>
      <c r="J661" s="60"/>
      <c r="K661" s="59"/>
      <c r="L661" s="59"/>
      <c r="M661" s="61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59"/>
      <c r="F662" s="59"/>
      <c r="G662" s="60"/>
      <c r="H662" s="60"/>
      <c r="I662" s="59"/>
      <c r="J662" s="60"/>
      <c r="K662" s="59"/>
      <c r="L662" s="59"/>
      <c r="M662" s="61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59"/>
      <c r="F663" s="59"/>
      <c r="G663" s="60"/>
      <c r="H663" s="60"/>
      <c r="I663" s="59"/>
      <c r="J663" s="60"/>
      <c r="K663" s="59"/>
      <c r="L663" s="59"/>
      <c r="M663" s="61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59"/>
      <c r="F664" s="59"/>
      <c r="G664" s="60"/>
      <c r="H664" s="60"/>
      <c r="I664" s="59"/>
      <c r="J664" s="60"/>
      <c r="K664" s="59"/>
      <c r="L664" s="59"/>
      <c r="M664" s="61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59"/>
      <c r="F665" s="59"/>
      <c r="G665" s="60"/>
      <c r="H665" s="60"/>
      <c r="I665" s="59"/>
      <c r="J665" s="60"/>
      <c r="K665" s="59"/>
      <c r="L665" s="59"/>
      <c r="M665" s="61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59"/>
      <c r="F666" s="59"/>
      <c r="G666" s="60"/>
      <c r="H666" s="60"/>
      <c r="I666" s="59"/>
      <c r="J666" s="60"/>
      <c r="K666" s="59"/>
      <c r="L666" s="59"/>
      <c r="M666" s="61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59"/>
      <c r="F667" s="59"/>
      <c r="G667" s="60"/>
      <c r="H667" s="60"/>
      <c r="I667" s="59"/>
      <c r="J667" s="60"/>
      <c r="K667" s="59"/>
      <c r="L667" s="59"/>
      <c r="M667" s="61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59"/>
      <c r="F668" s="59"/>
      <c r="G668" s="60"/>
      <c r="H668" s="60"/>
      <c r="I668" s="59"/>
      <c r="J668" s="60"/>
      <c r="K668" s="59"/>
      <c r="L668" s="59"/>
      <c r="M668" s="61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59"/>
      <c r="F669" s="59"/>
      <c r="G669" s="60"/>
      <c r="H669" s="60"/>
      <c r="I669" s="59"/>
      <c r="J669" s="60"/>
      <c r="K669" s="59"/>
      <c r="L669" s="59"/>
      <c r="M669" s="61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59"/>
      <c r="F670" s="59"/>
      <c r="G670" s="60"/>
      <c r="H670" s="60"/>
      <c r="I670" s="59"/>
      <c r="J670" s="60"/>
      <c r="K670" s="59"/>
      <c r="L670" s="59"/>
      <c r="M670" s="61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59"/>
      <c r="F671" s="59"/>
      <c r="G671" s="60"/>
      <c r="H671" s="60"/>
      <c r="I671" s="59"/>
      <c r="J671" s="60"/>
      <c r="K671" s="59"/>
      <c r="L671" s="59"/>
      <c r="M671" s="61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59"/>
      <c r="F672" s="59"/>
      <c r="G672" s="60"/>
      <c r="H672" s="60"/>
      <c r="I672" s="59"/>
      <c r="J672" s="60"/>
      <c r="K672" s="59"/>
      <c r="L672" s="59"/>
      <c r="M672" s="61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59"/>
      <c r="F673" s="59"/>
      <c r="G673" s="60"/>
      <c r="H673" s="60"/>
      <c r="I673" s="59"/>
      <c r="J673" s="60"/>
      <c r="K673" s="59"/>
      <c r="L673" s="59"/>
      <c r="M673" s="61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59"/>
      <c r="F674" s="59"/>
      <c r="G674" s="60"/>
      <c r="H674" s="60"/>
      <c r="I674" s="59"/>
      <c r="J674" s="60"/>
      <c r="K674" s="59"/>
      <c r="L674" s="59"/>
      <c r="M674" s="61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59"/>
      <c r="F675" s="59"/>
      <c r="G675" s="60"/>
      <c r="H675" s="60"/>
      <c r="I675" s="59"/>
      <c r="J675" s="60"/>
      <c r="K675" s="59"/>
      <c r="L675" s="59"/>
      <c r="M675" s="61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59"/>
      <c r="F676" s="59"/>
      <c r="G676" s="60"/>
      <c r="H676" s="60"/>
      <c r="I676" s="59"/>
      <c r="J676" s="60"/>
      <c r="K676" s="59"/>
      <c r="L676" s="59"/>
      <c r="M676" s="61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59"/>
      <c r="F677" s="59"/>
      <c r="G677" s="60"/>
      <c r="H677" s="60"/>
      <c r="I677" s="59"/>
      <c r="J677" s="60"/>
      <c r="K677" s="59"/>
      <c r="L677" s="59"/>
      <c r="M677" s="61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59"/>
      <c r="F678" s="59"/>
      <c r="G678" s="60"/>
      <c r="H678" s="60"/>
      <c r="I678" s="59"/>
      <c r="J678" s="60"/>
      <c r="K678" s="59"/>
      <c r="L678" s="59"/>
      <c r="M678" s="61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59"/>
      <c r="F679" s="59"/>
      <c r="G679" s="60"/>
      <c r="H679" s="60"/>
      <c r="I679" s="59"/>
      <c r="J679" s="60"/>
      <c r="K679" s="59"/>
      <c r="L679" s="59"/>
      <c r="M679" s="61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59"/>
      <c r="F680" s="59"/>
      <c r="G680" s="60"/>
      <c r="H680" s="60"/>
      <c r="I680" s="59"/>
      <c r="J680" s="60"/>
      <c r="K680" s="59"/>
      <c r="L680" s="59"/>
      <c r="M680" s="61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59"/>
      <c r="F681" s="59"/>
      <c r="G681" s="60"/>
      <c r="H681" s="60"/>
      <c r="I681" s="59"/>
      <c r="J681" s="60"/>
      <c r="K681" s="59"/>
      <c r="L681" s="59"/>
      <c r="M681" s="61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59"/>
      <c r="F682" s="59"/>
      <c r="G682" s="60"/>
      <c r="H682" s="60"/>
      <c r="I682" s="59"/>
      <c r="J682" s="60"/>
      <c r="K682" s="59"/>
      <c r="L682" s="59"/>
      <c r="M682" s="61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59"/>
      <c r="F683" s="59"/>
      <c r="G683" s="60"/>
      <c r="H683" s="60"/>
      <c r="I683" s="59"/>
      <c r="J683" s="60"/>
      <c r="K683" s="59"/>
      <c r="L683" s="59"/>
      <c r="M683" s="61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59"/>
      <c r="F684" s="59"/>
      <c r="G684" s="60"/>
      <c r="H684" s="60"/>
      <c r="I684" s="59"/>
      <c r="J684" s="60"/>
      <c r="K684" s="59"/>
      <c r="L684" s="59"/>
      <c r="M684" s="61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59"/>
      <c r="F685" s="59"/>
      <c r="G685" s="60"/>
      <c r="H685" s="60"/>
      <c r="I685" s="59"/>
      <c r="J685" s="60"/>
      <c r="K685" s="59"/>
      <c r="L685" s="59"/>
      <c r="M685" s="61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59"/>
      <c r="F686" s="59"/>
      <c r="G686" s="60"/>
      <c r="H686" s="60"/>
      <c r="I686" s="59"/>
      <c r="J686" s="60"/>
      <c r="K686" s="59"/>
      <c r="L686" s="59"/>
      <c r="M686" s="61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59"/>
      <c r="F687" s="59"/>
      <c r="G687" s="60"/>
      <c r="H687" s="60"/>
      <c r="I687" s="59"/>
      <c r="J687" s="60"/>
      <c r="K687" s="59"/>
      <c r="L687" s="59"/>
      <c r="M687" s="61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59"/>
      <c r="F688" s="59"/>
      <c r="G688" s="60"/>
      <c r="H688" s="60"/>
      <c r="I688" s="59"/>
      <c r="J688" s="60"/>
      <c r="K688" s="59"/>
      <c r="L688" s="59"/>
      <c r="M688" s="61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59"/>
      <c r="F689" s="59"/>
      <c r="G689" s="60"/>
      <c r="H689" s="60"/>
      <c r="I689" s="59"/>
      <c r="J689" s="60"/>
      <c r="K689" s="59"/>
      <c r="L689" s="59"/>
      <c r="M689" s="61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59"/>
      <c r="F690" s="59"/>
      <c r="G690" s="60"/>
      <c r="H690" s="60"/>
      <c r="I690" s="59"/>
      <c r="J690" s="60"/>
      <c r="K690" s="59"/>
      <c r="L690" s="59"/>
      <c r="M690" s="61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59"/>
      <c r="F691" s="59"/>
      <c r="G691" s="60"/>
      <c r="H691" s="60"/>
      <c r="I691" s="59"/>
      <c r="J691" s="60"/>
      <c r="K691" s="59"/>
      <c r="L691" s="59"/>
      <c r="M691" s="61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59"/>
      <c r="F692" s="59"/>
      <c r="G692" s="60"/>
      <c r="H692" s="60"/>
      <c r="I692" s="59"/>
      <c r="J692" s="60"/>
      <c r="K692" s="59"/>
      <c r="L692" s="59"/>
      <c r="M692" s="61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59"/>
      <c r="F693" s="59"/>
      <c r="G693" s="60"/>
      <c r="H693" s="60"/>
      <c r="I693" s="59"/>
      <c r="J693" s="60"/>
      <c r="K693" s="59"/>
      <c r="L693" s="59"/>
      <c r="M693" s="61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59"/>
      <c r="F694" s="59"/>
      <c r="G694" s="60"/>
      <c r="H694" s="60"/>
      <c r="I694" s="59"/>
      <c r="J694" s="60"/>
      <c r="K694" s="59"/>
      <c r="L694" s="59"/>
      <c r="M694" s="61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59"/>
      <c r="F695" s="59"/>
      <c r="G695" s="60"/>
      <c r="H695" s="60"/>
      <c r="I695" s="59"/>
      <c r="J695" s="60"/>
      <c r="K695" s="59"/>
      <c r="L695" s="59"/>
      <c r="M695" s="61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59"/>
      <c r="F696" s="59"/>
      <c r="G696" s="60"/>
      <c r="H696" s="60"/>
      <c r="I696" s="59"/>
      <c r="J696" s="60"/>
      <c r="K696" s="59"/>
      <c r="L696" s="59"/>
      <c r="M696" s="61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59"/>
      <c r="F697" s="59"/>
      <c r="G697" s="60"/>
      <c r="H697" s="60"/>
      <c r="I697" s="59"/>
      <c r="J697" s="60"/>
      <c r="K697" s="59"/>
      <c r="L697" s="59"/>
      <c r="M697" s="61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59"/>
      <c r="F698" s="59"/>
      <c r="G698" s="60"/>
      <c r="H698" s="60"/>
      <c r="I698" s="59"/>
      <c r="J698" s="60"/>
      <c r="K698" s="59"/>
      <c r="L698" s="59"/>
      <c r="M698" s="61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59"/>
      <c r="F699" s="59"/>
      <c r="G699" s="60"/>
      <c r="H699" s="60"/>
      <c r="I699" s="59"/>
      <c r="J699" s="60"/>
      <c r="K699" s="59"/>
      <c r="L699" s="59"/>
      <c r="M699" s="61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59"/>
      <c r="F700" s="59"/>
      <c r="G700" s="60"/>
      <c r="H700" s="60"/>
      <c r="I700" s="59"/>
      <c r="J700" s="60"/>
      <c r="K700" s="59"/>
      <c r="L700" s="59"/>
      <c r="M700" s="61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59"/>
      <c r="F701" s="59"/>
      <c r="G701" s="60"/>
      <c r="H701" s="60"/>
      <c r="I701" s="59"/>
      <c r="J701" s="60"/>
      <c r="K701" s="59"/>
      <c r="L701" s="59"/>
      <c r="M701" s="61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59"/>
      <c r="F702" s="59"/>
      <c r="G702" s="60"/>
      <c r="H702" s="60"/>
      <c r="I702" s="59"/>
      <c r="J702" s="60"/>
      <c r="K702" s="59"/>
      <c r="L702" s="59"/>
      <c r="M702" s="61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59"/>
      <c r="F703" s="59"/>
      <c r="G703" s="60"/>
      <c r="H703" s="60"/>
      <c r="I703" s="59"/>
      <c r="J703" s="60"/>
      <c r="K703" s="59"/>
      <c r="L703" s="59"/>
      <c r="M703" s="61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59"/>
      <c r="F704" s="59"/>
      <c r="G704" s="60"/>
      <c r="H704" s="60"/>
      <c r="I704" s="59"/>
      <c r="J704" s="60"/>
      <c r="K704" s="59"/>
      <c r="L704" s="59"/>
      <c r="M704" s="61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59"/>
      <c r="F705" s="59"/>
      <c r="G705" s="60"/>
      <c r="H705" s="60"/>
      <c r="I705" s="59"/>
      <c r="J705" s="60"/>
      <c r="K705" s="59"/>
      <c r="L705" s="59"/>
      <c r="M705" s="61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59"/>
      <c r="F706" s="59"/>
      <c r="G706" s="60"/>
      <c r="H706" s="60"/>
      <c r="I706" s="59"/>
      <c r="J706" s="60"/>
      <c r="K706" s="59"/>
      <c r="L706" s="59"/>
      <c r="M706" s="61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59"/>
      <c r="F707" s="59"/>
      <c r="G707" s="60"/>
      <c r="H707" s="60"/>
      <c r="I707" s="59"/>
      <c r="J707" s="60"/>
      <c r="K707" s="59"/>
      <c r="L707" s="59"/>
      <c r="M707" s="61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59"/>
      <c r="F708" s="59"/>
      <c r="G708" s="60"/>
      <c r="H708" s="60"/>
      <c r="I708" s="59"/>
      <c r="J708" s="60"/>
      <c r="K708" s="59"/>
      <c r="L708" s="59"/>
      <c r="M708" s="61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59"/>
      <c r="F709" s="59"/>
      <c r="G709" s="60"/>
      <c r="H709" s="60"/>
      <c r="I709" s="59"/>
      <c r="J709" s="60"/>
      <c r="K709" s="59"/>
      <c r="L709" s="59"/>
      <c r="M709" s="61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59"/>
      <c r="F710" s="59"/>
      <c r="G710" s="60"/>
      <c r="H710" s="60"/>
      <c r="I710" s="59"/>
      <c r="J710" s="60"/>
      <c r="K710" s="59"/>
      <c r="L710" s="59"/>
      <c r="M710" s="61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59"/>
      <c r="F711" s="59"/>
      <c r="G711" s="60"/>
      <c r="H711" s="60"/>
      <c r="I711" s="59"/>
      <c r="J711" s="60"/>
      <c r="K711" s="59"/>
      <c r="L711" s="59"/>
      <c r="M711" s="61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59"/>
      <c r="F712" s="59"/>
      <c r="G712" s="60"/>
      <c r="H712" s="60"/>
      <c r="I712" s="59"/>
      <c r="J712" s="60"/>
      <c r="K712" s="59"/>
      <c r="L712" s="59"/>
      <c r="M712" s="61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59"/>
      <c r="F713" s="59"/>
      <c r="G713" s="60"/>
      <c r="H713" s="60"/>
      <c r="I713" s="59"/>
      <c r="J713" s="60"/>
      <c r="K713" s="59"/>
      <c r="L713" s="59"/>
      <c r="M713" s="61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59"/>
      <c r="F714" s="59"/>
      <c r="G714" s="60"/>
      <c r="H714" s="60"/>
      <c r="I714" s="59"/>
      <c r="J714" s="60"/>
      <c r="K714" s="59"/>
      <c r="L714" s="59"/>
      <c r="M714" s="61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59"/>
      <c r="F715" s="59"/>
      <c r="G715" s="60"/>
      <c r="H715" s="60"/>
      <c r="I715" s="59"/>
      <c r="J715" s="60"/>
      <c r="K715" s="59"/>
      <c r="L715" s="59"/>
      <c r="M715" s="61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59"/>
      <c r="F716" s="59"/>
      <c r="G716" s="60"/>
      <c r="H716" s="60"/>
      <c r="I716" s="59"/>
      <c r="J716" s="60"/>
      <c r="K716" s="59"/>
      <c r="L716" s="59"/>
      <c r="M716" s="61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59"/>
      <c r="F717" s="59"/>
      <c r="G717" s="60"/>
      <c r="H717" s="60"/>
      <c r="I717" s="59"/>
      <c r="J717" s="60"/>
      <c r="K717" s="59"/>
      <c r="L717" s="59"/>
      <c r="M717" s="61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59"/>
      <c r="F718" s="59"/>
      <c r="G718" s="60"/>
      <c r="H718" s="60"/>
      <c r="I718" s="59"/>
      <c r="J718" s="60"/>
      <c r="K718" s="59"/>
      <c r="L718" s="59"/>
      <c r="M718" s="61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59"/>
      <c r="F719" s="59"/>
      <c r="G719" s="60"/>
      <c r="H719" s="60"/>
      <c r="I719" s="59"/>
      <c r="J719" s="60"/>
      <c r="K719" s="59"/>
      <c r="L719" s="59"/>
      <c r="M719" s="61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59"/>
      <c r="F720" s="59"/>
      <c r="G720" s="60"/>
      <c r="H720" s="60"/>
      <c r="I720" s="59"/>
      <c r="J720" s="60"/>
      <c r="K720" s="59"/>
      <c r="L720" s="59"/>
      <c r="M720" s="61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59"/>
      <c r="F721" s="59"/>
      <c r="G721" s="60"/>
      <c r="H721" s="60"/>
      <c r="I721" s="59"/>
      <c r="J721" s="60"/>
      <c r="K721" s="59"/>
      <c r="L721" s="59"/>
      <c r="M721" s="61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59"/>
      <c r="F722" s="59"/>
      <c r="G722" s="60"/>
      <c r="H722" s="60"/>
      <c r="I722" s="59"/>
      <c r="J722" s="60"/>
      <c r="K722" s="59"/>
      <c r="L722" s="59"/>
      <c r="M722" s="61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59"/>
      <c r="F723" s="59"/>
      <c r="G723" s="60"/>
      <c r="H723" s="60"/>
      <c r="I723" s="59"/>
      <c r="J723" s="60"/>
      <c r="K723" s="59"/>
      <c r="L723" s="59"/>
      <c r="M723" s="61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59"/>
      <c r="F724" s="59"/>
      <c r="G724" s="60"/>
      <c r="H724" s="60"/>
      <c r="I724" s="59"/>
      <c r="J724" s="60"/>
      <c r="K724" s="59"/>
      <c r="L724" s="59"/>
      <c r="M724" s="61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59"/>
      <c r="F725" s="59"/>
      <c r="G725" s="60"/>
      <c r="H725" s="60"/>
      <c r="I725" s="59"/>
      <c r="J725" s="60"/>
      <c r="K725" s="59"/>
      <c r="L725" s="59"/>
      <c r="M725" s="61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59"/>
      <c r="F726" s="59"/>
      <c r="G726" s="60"/>
      <c r="H726" s="60"/>
      <c r="I726" s="59"/>
      <c r="J726" s="60"/>
      <c r="K726" s="59"/>
      <c r="L726" s="59"/>
      <c r="M726" s="61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59"/>
      <c r="F727" s="59"/>
      <c r="G727" s="60"/>
      <c r="H727" s="60"/>
      <c r="I727" s="59"/>
      <c r="J727" s="60"/>
      <c r="K727" s="59"/>
      <c r="L727" s="59"/>
      <c r="M727" s="61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59"/>
      <c r="F728" s="59"/>
      <c r="G728" s="60"/>
      <c r="H728" s="60"/>
      <c r="I728" s="59"/>
      <c r="J728" s="60"/>
      <c r="K728" s="59"/>
      <c r="L728" s="59"/>
      <c r="M728" s="61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59"/>
      <c r="F729" s="59"/>
      <c r="G729" s="60"/>
      <c r="H729" s="60"/>
      <c r="I729" s="59"/>
      <c r="J729" s="60"/>
      <c r="K729" s="59"/>
      <c r="L729" s="59"/>
      <c r="M729" s="61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59"/>
      <c r="F730" s="59"/>
      <c r="G730" s="60"/>
      <c r="H730" s="60"/>
      <c r="I730" s="59"/>
      <c r="J730" s="60"/>
      <c r="K730" s="59"/>
      <c r="L730" s="59"/>
      <c r="M730" s="61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59"/>
      <c r="F731" s="59"/>
      <c r="G731" s="60"/>
      <c r="H731" s="60"/>
      <c r="I731" s="59"/>
      <c r="J731" s="60"/>
      <c r="K731" s="59"/>
      <c r="L731" s="59"/>
      <c r="M731" s="61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59"/>
      <c r="F732" s="59"/>
      <c r="G732" s="60"/>
      <c r="H732" s="60"/>
      <c r="I732" s="59"/>
      <c r="J732" s="60"/>
      <c r="K732" s="59"/>
      <c r="L732" s="59"/>
      <c r="M732" s="61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59"/>
      <c r="F733" s="59"/>
      <c r="G733" s="60"/>
      <c r="H733" s="60"/>
      <c r="I733" s="59"/>
      <c r="J733" s="60"/>
      <c r="K733" s="59"/>
      <c r="L733" s="59"/>
      <c r="M733" s="61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59"/>
      <c r="F734" s="59"/>
      <c r="G734" s="60"/>
      <c r="H734" s="60"/>
      <c r="I734" s="59"/>
      <c r="J734" s="60"/>
      <c r="K734" s="59"/>
      <c r="L734" s="59"/>
      <c r="M734" s="61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59"/>
      <c r="F735" s="59"/>
      <c r="G735" s="60"/>
      <c r="H735" s="60"/>
      <c r="I735" s="59"/>
      <c r="J735" s="60"/>
      <c r="K735" s="59"/>
      <c r="L735" s="59"/>
      <c r="M735" s="61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59"/>
      <c r="F736" s="59"/>
      <c r="G736" s="60"/>
      <c r="H736" s="60"/>
      <c r="I736" s="59"/>
      <c r="J736" s="60"/>
      <c r="K736" s="59"/>
      <c r="L736" s="59"/>
      <c r="M736" s="61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59"/>
      <c r="F737" s="59"/>
      <c r="G737" s="60"/>
      <c r="H737" s="60"/>
      <c r="I737" s="59"/>
      <c r="J737" s="60"/>
      <c r="K737" s="59"/>
      <c r="L737" s="59"/>
      <c r="M737" s="61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59"/>
      <c r="F738" s="59"/>
      <c r="G738" s="60"/>
      <c r="H738" s="60"/>
      <c r="I738" s="59"/>
      <c r="J738" s="60"/>
      <c r="K738" s="59"/>
      <c r="L738" s="59"/>
      <c r="M738" s="61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59"/>
      <c r="F739" s="59"/>
      <c r="G739" s="60"/>
      <c r="H739" s="60"/>
      <c r="I739" s="59"/>
      <c r="J739" s="60"/>
      <c r="K739" s="59"/>
      <c r="L739" s="59"/>
      <c r="M739" s="61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59"/>
      <c r="F740" s="59"/>
      <c r="G740" s="60"/>
      <c r="H740" s="60"/>
      <c r="I740" s="59"/>
      <c r="J740" s="60"/>
      <c r="K740" s="59"/>
      <c r="L740" s="59"/>
      <c r="M740" s="61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59"/>
      <c r="F741" s="59"/>
      <c r="G741" s="60"/>
      <c r="H741" s="60"/>
      <c r="I741" s="59"/>
      <c r="J741" s="60"/>
      <c r="K741" s="59"/>
      <c r="L741" s="59"/>
      <c r="M741" s="61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59"/>
      <c r="F742" s="59"/>
      <c r="G742" s="60"/>
      <c r="H742" s="60"/>
      <c r="I742" s="59"/>
      <c r="J742" s="60"/>
      <c r="K742" s="59"/>
      <c r="L742" s="59"/>
      <c r="M742" s="61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59"/>
      <c r="F743" s="59"/>
      <c r="G743" s="60"/>
      <c r="H743" s="60"/>
      <c r="I743" s="59"/>
      <c r="J743" s="60"/>
      <c r="K743" s="59"/>
      <c r="L743" s="59"/>
      <c r="M743" s="61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59"/>
      <c r="F744" s="59"/>
      <c r="G744" s="60"/>
      <c r="H744" s="60"/>
      <c r="I744" s="59"/>
      <c r="J744" s="60"/>
      <c r="K744" s="59"/>
      <c r="L744" s="59"/>
      <c r="M744" s="61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59"/>
      <c r="F745" s="59"/>
      <c r="G745" s="60"/>
      <c r="H745" s="60"/>
      <c r="I745" s="59"/>
      <c r="J745" s="60"/>
      <c r="K745" s="59"/>
      <c r="L745" s="59"/>
      <c r="M745" s="61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59"/>
      <c r="F746" s="59"/>
      <c r="G746" s="60"/>
      <c r="H746" s="60"/>
      <c r="I746" s="59"/>
      <c r="J746" s="60"/>
      <c r="K746" s="59"/>
      <c r="L746" s="59"/>
      <c r="M746" s="61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59"/>
      <c r="F747" s="59"/>
      <c r="G747" s="60"/>
      <c r="H747" s="60"/>
      <c r="I747" s="59"/>
      <c r="J747" s="60"/>
      <c r="K747" s="59"/>
      <c r="L747" s="59"/>
      <c r="M747" s="61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59"/>
      <c r="F748" s="59"/>
      <c r="G748" s="60"/>
      <c r="H748" s="60"/>
      <c r="I748" s="59"/>
      <c r="J748" s="60"/>
      <c r="K748" s="59"/>
      <c r="L748" s="59"/>
      <c r="M748" s="61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59"/>
      <c r="F749" s="59"/>
      <c r="G749" s="60"/>
      <c r="H749" s="60"/>
      <c r="I749" s="59"/>
      <c r="J749" s="60"/>
      <c r="K749" s="59"/>
      <c r="L749" s="59"/>
      <c r="M749" s="61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59"/>
      <c r="F750" s="59"/>
      <c r="G750" s="60"/>
      <c r="H750" s="60"/>
      <c r="I750" s="59"/>
      <c r="J750" s="60"/>
      <c r="K750" s="59"/>
      <c r="L750" s="59"/>
      <c r="M750" s="61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59"/>
      <c r="F751" s="59"/>
      <c r="G751" s="60"/>
      <c r="H751" s="60"/>
      <c r="I751" s="59"/>
      <c r="J751" s="60"/>
      <c r="K751" s="59"/>
      <c r="L751" s="59"/>
      <c r="M751" s="61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59"/>
      <c r="F752" s="59"/>
      <c r="G752" s="60"/>
      <c r="H752" s="60"/>
      <c r="I752" s="59"/>
      <c r="J752" s="60"/>
      <c r="K752" s="59"/>
      <c r="L752" s="59"/>
      <c r="M752" s="61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59"/>
      <c r="F753" s="59"/>
      <c r="G753" s="60"/>
      <c r="H753" s="60"/>
      <c r="I753" s="59"/>
      <c r="J753" s="60"/>
      <c r="K753" s="59"/>
      <c r="L753" s="59"/>
      <c r="M753" s="61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59"/>
      <c r="F754" s="59"/>
      <c r="G754" s="60"/>
      <c r="H754" s="60"/>
      <c r="I754" s="59"/>
      <c r="J754" s="60"/>
      <c r="K754" s="59"/>
      <c r="L754" s="59"/>
      <c r="M754" s="61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59"/>
      <c r="F755" s="59"/>
      <c r="G755" s="60"/>
      <c r="H755" s="60"/>
      <c r="I755" s="59"/>
      <c r="J755" s="60"/>
      <c r="K755" s="59"/>
      <c r="L755" s="59"/>
      <c r="M755" s="61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59"/>
      <c r="F756" s="59"/>
      <c r="G756" s="60"/>
      <c r="H756" s="60"/>
      <c r="I756" s="59"/>
      <c r="J756" s="60"/>
      <c r="K756" s="59"/>
      <c r="L756" s="59"/>
      <c r="M756" s="61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59"/>
      <c r="F757" s="59"/>
      <c r="G757" s="60"/>
      <c r="H757" s="60"/>
      <c r="I757" s="59"/>
      <c r="J757" s="60"/>
      <c r="K757" s="59"/>
      <c r="L757" s="59"/>
      <c r="M757" s="61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59"/>
      <c r="F758" s="59"/>
      <c r="G758" s="60"/>
      <c r="H758" s="60"/>
      <c r="I758" s="59"/>
      <c r="J758" s="60"/>
      <c r="K758" s="59"/>
      <c r="L758" s="59"/>
      <c r="M758" s="61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59"/>
      <c r="F759" s="59"/>
      <c r="G759" s="60"/>
      <c r="H759" s="60"/>
      <c r="I759" s="59"/>
      <c r="J759" s="60"/>
      <c r="K759" s="59"/>
      <c r="L759" s="59"/>
      <c r="M759" s="61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59"/>
      <c r="F760" s="59"/>
      <c r="G760" s="60"/>
      <c r="H760" s="60"/>
      <c r="I760" s="59"/>
      <c r="J760" s="60"/>
      <c r="K760" s="59"/>
      <c r="L760" s="59"/>
      <c r="M760" s="61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59"/>
      <c r="F761" s="59"/>
      <c r="G761" s="60"/>
      <c r="H761" s="60"/>
      <c r="I761" s="59"/>
      <c r="J761" s="60"/>
      <c r="K761" s="59"/>
      <c r="L761" s="59"/>
      <c r="M761" s="61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59"/>
      <c r="F762" s="59"/>
      <c r="G762" s="60"/>
      <c r="H762" s="60"/>
      <c r="I762" s="59"/>
      <c r="J762" s="60"/>
      <c r="K762" s="59"/>
      <c r="L762" s="59"/>
      <c r="M762" s="61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59"/>
      <c r="F763" s="59"/>
      <c r="G763" s="60"/>
      <c r="H763" s="60"/>
      <c r="I763" s="59"/>
      <c r="J763" s="60"/>
      <c r="K763" s="59"/>
      <c r="L763" s="59"/>
      <c r="M763" s="61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59"/>
      <c r="F764" s="59"/>
      <c r="G764" s="60"/>
      <c r="H764" s="60"/>
      <c r="I764" s="59"/>
      <c r="J764" s="60"/>
      <c r="K764" s="59"/>
      <c r="L764" s="59"/>
      <c r="M764" s="61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59"/>
      <c r="F765" s="59"/>
      <c r="G765" s="60"/>
      <c r="H765" s="60"/>
      <c r="I765" s="59"/>
      <c r="J765" s="60"/>
      <c r="K765" s="59"/>
      <c r="L765" s="59"/>
      <c r="M765" s="61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59"/>
      <c r="F766" s="59"/>
      <c r="G766" s="60"/>
      <c r="H766" s="60"/>
      <c r="I766" s="59"/>
      <c r="J766" s="60"/>
      <c r="K766" s="59"/>
      <c r="L766" s="59"/>
      <c r="M766" s="61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59"/>
      <c r="F767" s="59"/>
      <c r="G767" s="60"/>
      <c r="H767" s="60"/>
      <c r="I767" s="59"/>
      <c r="J767" s="60"/>
      <c r="K767" s="59"/>
      <c r="L767" s="59"/>
      <c r="M767" s="61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59"/>
      <c r="F768" s="59"/>
      <c r="G768" s="60"/>
      <c r="H768" s="60"/>
      <c r="I768" s="59"/>
      <c r="J768" s="60"/>
      <c r="K768" s="59"/>
      <c r="L768" s="59"/>
      <c r="M768" s="61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59"/>
      <c r="F769" s="59"/>
      <c r="G769" s="60"/>
      <c r="H769" s="60"/>
      <c r="I769" s="59"/>
      <c r="J769" s="60"/>
      <c r="K769" s="59"/>
      <c r="L769" s="59"/>
      <c r="M769" s="61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59"/>
      <c r="F770" s="59"/>
      <c r="G770" s="60"/>
      <c r="H770" s="60"/>
      <c r="I770" s="59"/>
      <c r="J770" s="60"/>
      <c r="K770" s="59"/>
      <c r="L770" s="59"/>
      <c r="M770" s="61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59"/>
      <c r="F771" s="59"/>
      <c r="G771" s="60"/>
      <c r="H771" s="60"/>
      <c r="I771" s="59"/>
      <c r="J771" s="60"/>
      <c r="K771" s="59"/>
      <c r="L771" s="59"/>
      <c r="M771" s="61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59"/>
      <c r="F772" s="59"/>
      <c r="G772" s="60"/>
      <c r="H772" s="60"/>
      <c r="I772" s="59"/>
      <c r="J772" s="60"/>
      <c r="K772" s="59"/>
      <c r="L772" s="59"/>
      <c r="M772" s="61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59"/>
      <c r="F773" s="59"/>
      <c r="G773" s="60"/>
      <c r="H773" s="60"/>
      <c r="I773" s="59"/>
      <c r="J773" s="60"/>
      <c r="K773" s="59"/>
      <c r="L773" s="59"/>
      <c r="M773" s="61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59"/>
      <c r="F774" s="59"/>
      <c r="G774" s="60"/>
      <c r="H774" s="60"/>
      <c r="I774" s="59"/>
      <c r="J774" s="60"/>
      <c r="K774" s="59"/>
      <c r="L774" s="59"/>
      <c r="M774" s="61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59"/>
      <c r="F775" s="59"/>
      <c r="G775" s="60"/>
      <c r="H775" s="60"/>
      <c r="I775" s="59"/>
      <c r="J775" s="60"/>
      <c r="K775" s="59"/>
      <c r="L775" s="59"/>
      <c r="M775" s="61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59"/>
      <c r="F776" s="59"/>
      <c r="G776" s="60"/>
      <c r="H776" s="60"/>
      <c r="I776" s="59"/>
      <c r="J776" s="60"/>
      <c r="K776" s="59"/>
      <c r="L776" s="59"/>
      <c r="M776" s="61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59"/>
      <c r="F777" s="59"/>
      <c r="G777" s="60"/>
      <c r="H777" s="60"/>
      <c r="I777" s="59"/>
      <c r="J777" s="60"/>
      <c r="K777" s="59"/>
      <c r="L777" s="59"/>
      <c r="M777" s="61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59"/>
      <c r="F778" s="59"/>
      <c r="G778" s="60"/>
      <c r="H778" s="60"/>
      <c r="I778" s="59"/>
      <c r="J778" s="60"/>
      <c r="K778" s="59"/>
      <c r="L778" s="59"/>
      <c r="M778" s="61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59"/>
      <c r="F779" s="59"/>
      <c r="G779" s="60"/>
      <c r="H779" s="60"/>
      <c r="I779" s="59"/>
      <c r="J779" s="60"/>
      <c r="K779" s="59"/>
      <c r="L779" s="59"/>
      <c r="M779" s="61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59"/>
      <c r="F780" s="59"/>
      <c r="G780" s="60"/>
      <c r="H780" s="60"/>
      <c r="I780" s="59"/>
      <c r="J780" s="60"/>
      <c r="K780" s="59"/>
      <c r="L780" s="59"/>
      <c r="M780" s="61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59"/>
      <c r="F781" s="59"/>
      <c r="G781" s="60"/>
      <c r="H781" s="60"/>
      <c r="I781" s="59"/>
      <c r="J781" s="60"/>
      <c r="K781" s="59"/>
      <c r="L781" s="59"/>
      <c r="M781" s="61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59"/>
      <c r="F782" s="59"/>
      <c r="G782" s="60"/>
      <c r="H782" s="60"/>
      <c r="I782" s="59"/>
      <c r="J782" s="60"/>
      <c r="K782" s="59"/>
      <c r="L782" s="59"/>
      <c r="M782" s="61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59"/>
      <c r="F783" s="59"/>
      <c r="G783" s="60"/>
      <c r="H783" s="60"/>
      <c r="I783" s="59"/>
      <c r="J783" s="60"/>
      <c r="K783" s="59"/>
      <c r="L783" s="59"/>
      <c r="M783" s="61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59"/>
      <c r="F784" s="59"/>
      <c r="G784" s="60"/>
      <c r="H784" s="60"/>
      <c r="I784" s="59"/>
      <c r="J784" s="60"/>
      <c r="K784" s="59"/>
      <c r="L784" s="59"/>
      <c r="M784" s="61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59"/>
      <c r="F785" s="59"/>
      <c r="G785" s="60"/>
      <c r="H785" s="60"/>
      <c r="I785" s="59"/>
      <c r="J785" s="60"/>
      <c r="K785" s="59"/>
      <c r="L785" s="59"/>
      <c r="M785" s="61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59"/>
      <c r="F786" s="59"/>
      <c r="G786" s="60"/>
      <c r="H786" s="60"/>
      <c r="I786" s="59"/>
      <c r="J786" s="60"/>
      <c r="K786" s="59"/>
      <c r="L786" s="59"/>
      <c r="M786" s="61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59"/>
      <c r="F787" s="59"/>
      <c r="G787" s="60"/>
      <c r="H787" s="60"/>
      <c r="I787" s="59"/>
      <c r="J787" s="60"/>
      <c r="K787" s="59"/>
      <c r="L787" s="59"/>
      <c r="M787" s="61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59"/>
      <c r="F788" s="59"/>
      <c r="G788" s="60"/>
      <c r="H788" s="60"/>
      <c r="I788" s="59"/>
      <c r="J788" s="60"/>
      <c r="K788" s="59"/>
      <c r="L788" s="59"/>
      <c r="M788" s="61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59"/>
      <c r="F789" s="59"/>
      <c r="G789" s="60"/>
      <c r="H789" s="60"/>
      <c r="I789" s="59"/>
      <c r="J789" s="60"/>
      <c r="K789" s="59"/>
      <c r="L789" s="59"/>
      <c r="M789" s="61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59"/>
      <c r="F790" s="59"/>
      <c r="G790" s="60"/>
      <c r="H790" s="60"/>
      <c r="I790" s="59"/>
      <c r="J790" s="60"/>
      <c r="K790" s="59"/>
      <c r="L790" s="59"/>
      <c r="M790" s="61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59"/>
      <c r="F791" s="59"/>
      <c r="G791" s="60"/>
      <c r="H791" s="60"/>
      <c r="I791" s="59"/>
      <c r="J791" s="60"/>
      <c r="K791" s="59"/>
      <c r="L791" s="59"/>
      <c r="M791" s="61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59"/>
      <c r="F792" s="59"/>
      <c r="G792" s="60"/>
      <c r="H792" s="60"/>
      <c r="I792" s="59"/>
      <c r="J792" s="60"/>
      <c r="K792" s="59"/>
      <c r="L792" s="59"/>
      <c r="M792" s="61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59"/>
      <c r="F793" s="59"/>
      <c r="G793" s="60"/>
      <c r="H793" s="60"/>
      <c r="I793" s="59"/>
      <c r="J793" s="60"/>
      <c r="K793" s="59"/>
      <c r="L793" s="59"/>
      <c r="M793" s="61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59"/>
      <c r="F794" s="59"/>
      <c r="G794" s="60"/>
      <c r="H794" s="60"/>
      <c r="I794" s="59"/>
      <c r="J794" s="60"/>
      <c r="K794" s="59"/>
      <c r="L794" s="59"/>
      <c r="M794" s="61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59"/>
      <c r="F795" s="59"/>
      <c r="G795" s="60"/>
      <c r="H795" s="60"/>
      <c r="I795" s="59"/>
      <c r="J795" s="60"/>
      <c r="K795" s="59"/>
      <c r="L795" s="59"/>
      <c r="M795" s="61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59"/>
      <c r="F796" s="59"/>
      <c r="G796" s="60"/>
      <c r="H796" s="60"/>
      <c r="I796" s="59"/>
      <c r="J796" s="60"/>
      <c r="K796" s="59"/>
      <c r="L796" s="59"/>
      <c r="M796" s="61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59"/>
      <c r="F797" s="59"/>
      <c r="G797" s="60"/>
      <c r="H797" s="60"/>
      <c r="I797" s="59"/>
      <c r="J797" s="60"/>
      <c r="K797" s="59"/>
      <c r="L797" s="59"/>
      <c r="M797" s="61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59"/>
      <c r="F798" s="59"/>
      <c r="G798" s="60"/>
      <c r="H798" s="60"/>
      <c r="I798" s="59"/>
      <c r="J798" s="60"/>
      <c r="K798" s="59"/>
      <c r="L798" s="59"/>
      <c r="M798" s="61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59"/>
      <c r="F799" s="59"/>
      <c r="G799" s="60"/>
      <c r="H799" s="60"/>
      <c r="I799" s="59"/>
      <c r="J799" s="60"/>
      <c r="K799" s="59"/>
      <c r="L799" s="59"/>
      <c r="M799" s="61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59"/>
      <c r="F800" s="59"/>
      <c r="G800" s="60"/>
      <c r="H800" s="60"/>
      <c r="I800" s="59"/>
      <c r="J800" s="60"/>
      <c r="K800" s="59"/>
      <c r="L800" s="59"/>
      <c r="M800" s="61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59"/>
      <c r="F801" s="59"/>
      <c r="G801" s="60"/>
      <c r="H801" s="60"/>
      <c r="I801" s="59"/>
      <c r="J801" s="60"/>
      <c r="K801" s="59"/>
      <c r="L801" s="59"/>
      <c r="M801" s="61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59"/>
      <c r="F802" s="59"/>
      <c r="G802" s="60"/>
      <c r="H802" s="60"/>
      <c r="I802" s="59"/>
      <c r="J802" s="60"/>
      <c r="K802" s="59"/>
      <c r="L802" s="59"/>
      <c r="M802" s="61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59"/>
      <c r="F803" s="59"/>
      <c r="G803" s="60"/>
      <c r="H803" s="60"/>
      <c r="I803" s="59"/>
      <c r="J803" s="60"/>
      <c r="K803" s="59"/>
      <c r="L803" s="59"/>
      <c r="M803" s="61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59"/>
      <c r="F804" s="59"/>
      <c r="G804" s="60"/>
      <c r="H804" s="60"/>
      <c r="I804" s="59"/>
      <c r="J804" s="60"/>
      <c r="K804" s="59"/>
      <c r="L804" s="59"/>
      <c r="M804" s="61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59"/>
      <c r="F805" s="59"/>
      <c r="G805" s="60"/>
      <c r="H805" s="60"/>
      <c r="I805" s="59"/>
      <c r="J805" s="60"/>
      <c r="K805" s="59"/>
      <c r="L805" s="59"/>
      <c r="M805" s="61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59"/>
      <c r="F806" s="59"/>
      <c r="G806" s="60"/>
      <c r="H806" s="60"/>
      <c r="I806" s="59"/>
      <c r="J806" s="60"/>
      <c r="K806" s="59"/>
      <c r="L806" s="59"/>
      <c r="M806" s="61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59"/>
      <c r="F807" s="59"/>
      <c r="G807" s="60"/>
      <c r="H807" s="60"/>
      <c r="I807" s="59"/>
      <c r="J807" s="60"/>
      <c r="K807" s="59"/>
      <c r="L807" s="59"/>
      <c r="M807" s="61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59"/>
      <c r="F808" s="59"/>
      <c r="G808" s="60"/>
      <c r="H808" s="60"/>
      <c r="I808" s="59"/>
      <c r="J808" s="60"/>
      <c r="K808" s="59"/>
      <c r="L808" s="59"/>
      <c r="M808" s="61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59"/>
      <c r="F809" s="59"/>
      <c r="G809" s="60"/>
      <c r="H809" s="60"/>
      <c r="I809" s="59"/>
      <c r="J809" s="60"/>
      <c r="K809" s="59"/>
      <c r="L809" s="59"/>
      <c r="M809" s="61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59"/>
      <c r="F810" s="59"/>
      <c r="G810" s="60"/>
      <c r="H810" s="60"/>
      <c r="I810" s="59"/>
      <c r="J810" s="60"/>
      <c r="K810" s="59"/>
      <c r="L810" s="59"/>
      <c r="M810" s="61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59"/>
      <c r="F811" s="59"/>
      <c r="G811" s="60"/>
      <c r="H811" s="60"/>
      <c r="I811" s="59"/>
      <c r="J811" s="60"/>
      <c r="K811" s="59"/>
      <c r="L811" s="59"/>
      <c r="M811" s="61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59"/>
      <c r="F812" s="59"/>
      <c r="G812" s="60"/>
      <c r="H812" s="60"/>
      <c r="I812" s="59"/>
      <c r="J812" s="60"/>
      <c r="K812" s="59"/>
      <c r="L812" s="59"/>
      <c r="M812" s="61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59"/>
      <c r="F813" s="59"/>
      <c r="G813" s="60"/>
      <c r="H813" s="60"/>
      <c r="I813" s="59"/>
      <c r="J813" s="60"/>
      <c r="K813" s="59"/>
      <c r="L813" s="59"/>
      <c r="M813" s="61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59"/>
      <c r="F814" s="59"/>
      <c r="G814" s="60"/>
      <c r="H814" s="60"/>
      <c r="I814" s="59"/>
      <c r="J814" s="60"/>
      <c r="K814" s="59"/>
      <c r="L814" s="59"/>
      <c r="M814" s="61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59"/>
      <c r="F815" s="59"/>
      <c r="G815" s="60"/>
      <c r="H815" s="60"/>
      <c r="I815" s="59"/>
      <c r="J815" s="60"/>
      <c r="K815" s="59"/>
      <c r="L815" s="59"/>
      <c r="M815" s="61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59"/>
      <c r="F816" s="59"/>
      <c r="G816" s="60"/>
      <c r="H816" s="60"/>
      <c r="I816" s="59"/>
      <c r="J816" s="60"/>
      <c r="K816" s="59"/>
      <c r="L816" s="59"/>
      <c r="M816" s="61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59"/>
      <c r="F817" s="59"/>
      <c r="G817" s="60"/>
      <c r="H817" s="60"/>
      <c r="I817" s="59"/>
      <c r="J817" s="60"/>
      <c r="K817" s="59"/>
      <c r="L817" s="59"/>
      <c r="M817" s="61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59"/>
      <c r="F818" s="59"/>
      <c r="G818" s="60"/>
      <c r="H818" s="60"/>
      <c r="I818" s="59"/>
      <c r="J818" s="60"/>
      <c r="K818" s="59"/>
      <c r="L818" s="59"/>
      <c r="M818" s="61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59"/>
      <c r="F819" s="59"/>
      <c r="G819" s="60"/>
      <c r="H819" s="60"/>
      <c r="I819" s="59"/>
      <c r="J819" s="60"/>
      <c r="K819" s="59"/>
      <c r="L819" s="59"/>
      <c r="M819" s="61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59"/>
      <c r="F820" s="59"/>
      <c r="G820" s="60"/>
      <c r="H820" s="60"/>
      <c r="I820" s="59"/>
      <c r="J820" s="60"/>
      <c r="K820" s="59"/>
      <c r="L820" s="59"/>
      <c r="M820" s="61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59"/>
      <c r="F821" s="59"/>
      <c r="G821" s="60"/>
      <c r="H821" s="60"/>
      <c r="I821" s="59"/>
      <c r="J821" s="60"/>
      <c r="K821" s="59"/>
      <c r="L821" s="59"/>
      <c r="M821" s="61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59"/>
      <c r="F822" s="59"/>
      <c r="G822" s="60"/>
      <c r="H822" s="60"/>
      <c r="I822" s="59"/>
      <c r="J822" s="60"/>
      <c r="K822" s="59"/>
      <c r="L822" s="59"/>
      <c r="M822" s="61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59"/>
      <c r="F823" s="59"/>
      <c r="G823" s="60"/>
      <c r="H823" s="60"/>
      <c r="I823" s="59"/>
      <c r="J823" s="60"/>
      <c r="K823" s="59"/>
      <c r="L823" s="59"/>
      <c r="M823" s="61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59"/>
      <c r="F824" s="59"/>
      <c r="G824" s="60"/>
      <c r="H824" s="60"/>
      <c r="I824" s="59"/>
      <c r="J824" s="60"/>
      <c r="K824" s="59"/>
      <c r="L824" s="59"/>
      <c r="M824" s="61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59"/>
      <c r="F825" s="59"/>
      <c r="G825" s="60"/>
      <c r="H825" s="60"/>
      <c r="I825" s="59"/>
      <c r="J825" s="60"/>
      <c r="K825" s="59"/>
      <c r="L825" s="59"/>
      <c r="M825" s="61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59"/>
      <c r="F826" s="59"/>
      <c r="G826" s="60"/>
      <c r="H826" s="60"/>
      <c r="I826" s="59"/>
      <c r="J826" s="60"/>
      <c r="K826" s="59"/>
      <c r="L826" s="59"/>
      <c r="M826" s="61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59"/>
      <c r="F827" s="59"/>
      <c r="G827" s="60"/>
      <c r="H827" s="60"/>
      <c r="I827" s="59"/>
      <c r="J827" s="60"/>
      <c r="K827" s="59"/>
      <c r="L827" s="59"/>
      <c r="M827" s="61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59"/>
      <c r="F828" s="59"/>
      <c r="G828" s="60"/>
      <c r="H828" s="60"/>
      <c r="I828" s="59"/>
      <c r="J828" s="60"/>
      <c r="K828" s="59"/>
      <c r="L828" s="59"/>
      <c r="M828" s="61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59"/>
      <c r="F829" s="59"/>
      <c r="G829" s="60"/>
      <c r="H829" s="60"/>
      <c r="I829" s="59"/>
      <c r="J829" s="60"/>
      <c r="K829" s="59"/>
      <c r="L829" s="59"/>
      <c r="M829" s="61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59"/>
      <c r="F830" s="59"/>
      <c r="G830" s="60"/>
      <c r="H830" s="60"/>
      <c r="I830" s="59"/>
      <c r="J830" s="60"/>
      <c r="K830" s="59"/>
      <c r="L830" s="59"/>
      <c r="M830" s="61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59"/>
      <c r="F831" s="59"/>
      <c r="G831" s="60"/>
      <c r="H831" s="60"/>
      <c r="I831" s="59"/>
      <c r="J831" s="60"/>
      <c r="K831" s="59"/>
      <c r="L831" s="59"/>
      <c r="M831" s="61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59"/>
      <c r="F832" s="59"/>
      <c r="G832" s="60"/>
      <c r="H832" s="60"/>
      <c r="I832" s="59"/>
      <c r="J832" s="60"/>
      <c r="K832" s="59"/>
      <c r="L832" s="59"/>
      <c r="M832" s="61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59"/>
      <c r="F833" s="59"/>
      <c r="G833" s="60"/>
      <c r="H833" s="60"/>
      <c r="I833" s="59"/>
      <c r="J833" s="60"/>
      <c r="K833" s="59"/>
      <c r="L833" s="59"/>
      <c r="M833" s="61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59"/>
      <c r="F834" s="59"/>
      <c r="G834" s="60"/>
      <c r="H834" s="60"/>
      <c r="I834" s="59"/>
      <c r="J834" s="60"/>
      <c r="K834" s="59"/>
      <c r="L834" s="59"/>
      <c r="M834" s="61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59"/>
      <c r="F835" s="59"/>
      <c r="G835" s="60"/>
      <c r="H835" s="60"/>
      <c r="I835" s="59"/>
      <c r="J835" s="60"/>
      <c r="K835" s="59"/>
      <c r="L835" s="59"/>
      <c r="M835" s="61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59"/>
      <c r="F836" s="59"/>
      <c r="G836" s="60"/>
      <c r="H836" s="60"/>
      <c r="I836" s="59"/>
      <c r="J836" s="60"/>
      <c r="K836" s="59"/>
      <c r="L836" s="59"/>
      <c r="M836" s="61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59"/>
      <c r="F837" s="59"/>
      <c r="G837" s="60"/>
      <c r="H837" s="60"/>
      <c r="I837" s="59"/>
      <c r="J837" s="60"/>
      <c r="K837" s="59"/>
      <c r="L837" s="59"/>
      <c r="M837" s="61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59"/>
      <c r="F838" s="59"/>
      <c r="G838" s="60"/>
      <c r="H838" s="60"/>
      <c r="I838" s="59"/>
      <c r="J838" s="60"/>
      <c r="K838" s="59"/>
      <c r="L838" s="59"/>
      <c r="M838" s="61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59"/>
      <c r="F839" s="59"/>
      <c r="G839" s="60"/>
      <c r="H839" s="60"/>
      <c r="I839" s="59"/>
      <c r="J839" s="60"/>
      <c r="K839" s="59"/>
      <c r="L839" s="59"/>
      <c r="M839" s="61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59"/>
      <c r="F840" s="59"/>
      <c r="G840" s="60"/>
      <c r="H840" s="60"/>
      <c r="I840" s="59"/>
      <c r="J840" s="60"/>
      <c r="K840" s="59"/>
      <c r="L840" s="59"/>
      <c r="M840" s="61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59"/>
      <c r="F841" s="59"/>
      <c r="G841" s="60"/>
      <c r="H841" s="60"/>
      <c r="I841" s="59"/>
      <c r="J841" s="60"/>
      <c r="K841" s="59"/>
      <c r="L841" s="59"/>
      <c r="M841" s="61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59"/>
      <c r="F842" s="59"/>
      <c r="G842" s="60"/>
      <c r="H842" s="60"/>
      <c r="I842" s="59"/>
      <c r="J842" s="60"/>
      <c r="K842" s="59"/>
      <c r="L842" s="59"/>
      <c r="M842" s="61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59"/>
      <c r="F843" s="59"/>
      <c r="G843" s="60"/>
      <c r="H843" s="60"/>
      <c r="I843" s="59"/>
      <c r="J843" s="60"/>
      <c r="K843" s="59"/>
      <c r="L843" s="59"/>
      <c r="M843" s="61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59"/>
      <c r="F844" s="59"/>
      <c r="G844" s="60"/>
      <c r="H844" s="60"/>
      <c r="I844" s="59"/>
      <c r="J844" s="60"/>
      <c r="K844" s="59"/>
      <c r="L844" s="59"/>
      <c r="M844" s="61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59"/>
      <c r="F845" s="59"/>
      <c r="G845" s="60"/>
      <c r="H845" s="60"/>
      <c r="I845" s="59"/>
      <c r="J845" s="60"/>
      <c r="K845" s="59"/>
      <c r="L845" s="59"/>
      <c r="M845" s="61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59"/>
      <c r="F846" s="59"/>
      <c r="G846" s="60"/>
      <c r="H846" s="60"/>
      <c r="I846" s="59"/>
      <c r="J846" s="60"/>
      <c r="K846" s="59"/>
      <c r="L846" s="59"/>
      <c r="M846" s="61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59"/>
      <c r="F847" s="59"/>
      <c r="G847" s="60"/>
      <c r="H847" s="60"/>
      <c r="I847" s="59"/>
      <c r="J847" s="60"/>
      <c r="K847" s="59"/>
      <c r="L847" s="59"/>
      <c r="M847" s="61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59"/>
      <c r="F848" s="59"/>
      <c r="G848" s="60"/>
      <c r="H848" s="60"/>
      <c r="I848" s="59"/>
      <c r="J848" s="60"/>
      <c r="K848" s="59"/>
      <c r="L848" s="59"/>
      <c r="M848" s="61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59"/>
      <c r="F849" s="59"/>
      <c r="G849" s="60"/>
      <c r="H849" s="60"/>
      <c r="I849" s="59"/>
      <c r="J849" s="60"/>
      <c r="K849" s="59"/>
      <c r="L849" s="59"/>
      <c r="M849" s="61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59"/>
      <c r="F850" s="59"/>
      <c r="G850" s="60"/>
      <c r="H850" s="60"/>
      <c r="I850" s="59"/>
      <c r="J850" s="60"/>
      <c r="K850" s="59"/>
      <c r="L850" s="59"/>
      <c r="M850" s="61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59"/>
      <c r="F851" s="59"/>
      <c r="G851" s="60"/>
      <c r="H851" s="60"/>
      <c r="I851" s="59"/>
      <c r="J851" s="60"/>
      <c r="K851" s="59"/>
      <c r="L851" s="59"/>
      <c r="M851" s="61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59"/>
      <c r="F852" s="59"/>
      <c r="G852" s="60"/>
      <c r="H852" s="60"/>
      <c r="I852" s="59"/>
      <c r="J852" s="60"/>
      <c r="K852" s="59"/>
      <c r="L852" s="59"/>
      <c r="M852" s="61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59"/>
      <c r="F853" s="59"/>
      <c r="G853" s="60"/>
      <c r="H853" s="60"/>
      <c r="I853" s="59"/>
      <c r="J853" s="60"/>
      <c r="K853" s="59"/>
      <c r="L853" s="59"/>
      <c r="M853" s="61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59"/>
      <c r="F854" s="59"/>
      <c r="G854" s="60"/>
      <c r="H854" s="60"/>
      <c r="I854" s="59"/>
      <c r="J854" s="60"/>
      <c r="K854" s="59"/>
      <c r="L854" s="59"/>
      <c r="M854" s="61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59"/>
      <c r="F855" s="59"/>
      <c r="G855" s="60"/>
      <c r="H855" s="60"/>
      <c r="I855" s="59"/>
      <c r="J855" s="60"/>
      <c r="K855" s="59"/>
      <c r="L855" s="59"/>
      <c r="M855" s="61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59"/>
      <c r="F856" s="59"/>
      <c r="G856" s="60"/>
      <c r="H856" s="60"/>
      <c r="I856" s="59"/>
      <c r="J856" s="60"/>
      <c r="K856" s="59"/>
      <c r="L856" s="59"/>
      <c r="M856" s="61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59"/>
      <c r="F857" s="59"/>
      <c r="G857" s="60"/>
      <c r="H857" s="60"/>
      <c r="I857" s="59"/>
      <c r="J857" s="60"/>
      <c r="K857" s="59"/>
      <c r="L857" s="59"/>
      <c r="M857" s="61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59"/>
      <c r="F858" s="59"/>
      <c r="G858" s="60"/>
      <c r="H858" s="60"/>
      <c r="I858" s="59"/>
      <c r="J858" s="60"/>
      <c r="K858" s="59"/>
      <c r="L858" s="59"/>
      <c r="M858" s="61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59"/>
      <c r="F859" s="59"/>
      <c r="G859" s="60"/>
      <c r="H859" s="60"/>
      <c r="I859" s="59"/>
      <c r="J859" s="60"/>
      <c r="K859" s="59"/>
      <c r="L859" s="59"/>
      <c r="M859" s="61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59"/>
      <c r="F860" s="59"/>
      <c r="G860" s="60"/>
      <c r="H860" s="60"/>
      <c r="I860" s="59"/>
      <c r="J860" s="60"/>
      <c r="K860" s="59"/>
      <c r="L860" s="59"/>
      <c r="M860" s="61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59"/>
      <c r="F861" s="59"/>
      <c r="G861" s="60"/>
      <c r="H861" s="60"/>
      <c r="I861" s="59"/>
      <c r="J861" s="60"/>
      <c r="K861" s="59"/>
      <c r="L861" s="59"/>
      <c r="M861" s="61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59"/>
      <c r="F862" s="59"/>
      <c r="G862" s="60"/>
      <c r="H862" s="60"/>
      <c r="I862" s="59"/>
      <c r="J862" s="60"/>
      <c r="K862" s="59"/>
      <c r="L862" s="59"/>
      <c r="M862" s="61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59"/>
      <c r="F863" s="59"/>
      <c r="G863" s="60"/>
      <c r="H863" s="60"/>
      <c r="I863" s="59"/>
      <c r="J863" s="60"/>
      <c r="K863" s="59"/>
      <c r="L863" s="59"/>
      <c r="M863" s="61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59"/>
      <c r="F864" s="59"/>
      <c r="G864" s="60"/>
      <c r="H864" s="60"/>
      <c r="I864" s="59"/>
      <c r="J864" s="60"/>
      <c r="K864" s="59"/>
      <c r="L864" s="59"/>
      <c r="M864" s="61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59"/>
      <c r="F865" s="59"/>
      <c r="G865" s="60"/>
      <c r="H865" s="60"/>
      <c r="I865" s="59"/>
      <c r="J865" s="60"/>
      <c r="K865" s="59"/>
      <c r="L865" s="59"/>
      <c r="M865" s="61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59"/>
      <c r="F866" s="59"/>
      <c r="G866" s="60"/>
      <c r="H866" s="60"/>
      <c r="I866" s="59"/>
      <c r="J866" s="60"/>
      <c r="K866" s="59"/>
      <c r="L866" s="59"/>
      <c r="M866" s="61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59"/>
      <c r="F867" s="59"/>
      <c r="G867" s="60"/>
      <c r="H867" s="60"/>
      <c r="I867" s="59"/>
      <c r="J867" s="60"/>
      <c r="K867" s="59"/>
      <c r="L867" s="59"/>
      <c r="M867" s="61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59"/>
      <c r="F868" s="59"/>
      <c r="G868" s="60"/>
      <c r="H868" s="60"/>
      <c r="I868" s="59"/>
      <c r="J868" s="60"/>
      <c r="K868" s="59"/>
      <c r="L868" s="59"/>
      <c r="M868" s="61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59"/>
      <c r="F869" s="59"/>
      <c r="G869" s="60"/>
      <c r="H869" s="60"/>
      <c r="I869" s="59"/>
      <c r="J869" s="60"/>
      <c r="K869" s="59"/>
      <c r="L869" s="59"/>
      <c r="M869" s="61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59"/>
      <c r="F870" s="59"/>
      <c r="G870" s="60"/>
      <c r="H870" s="60"/>
      <c r="I870" s="59"/>
      <c r="J870" s="60"/>
      <c r="K870" s="59"/>
      <c r="L870" s="59"/>
      <c r="M870" s="61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59"/>
      <c r="F871" s="59"/>
      <c r="G871" s="60"/>
      <c r="H871" s="60"/>
      <c r="I871" s="59"/>
      <c r="J871" s="60"/>
      <c r="K871" s="59"/>
      <c r="L871" s="59"/>
      <c r="M871" s="61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59"/>
      <c r="F872" s="59"/>
      <c r="G872" s="60"/>
      <c r="H872" s="60"/>
      <c r="I872" s="59"/>
      <c r="J872" s="60"/>
      <c r="K872" s="59"/>
      <c r="L872" s="59"/>
      <c r="M872" s="61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59"/>
      <c r="F873" s="59"/>
      <c r="G873" s="60"/>
      <c r="H873" s="60"/>
      <c r="I873" s="59"/>
      <c r="J873" s="60"/>
      <c r="K873" s="59"/>
      <c r="L873" s="59"/>
      <c r="M873" s="61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59"/>
      <c r="F874" s="59"/>
      <c r="G874" s="60"/>
      <c r="H874" s="60"/>
      <c r="I874" s="59"/>
      <c r="J874" s="60"/>
      <c r="K874" s="59"/>
      <c r="L874" s="59"/>
      <c r="M874" s="61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59"/>
      <c r="F875" s="59"/>
      <c r="G875" s="60"/>
      <c r="H875" s="60"/>
      <c r="I875" s="59"/>
      <c r="J875" s="60"/>
      <c r="K875" s="59"/>
      <c r="L875" s="59"/>
      <c r="M875" s="61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59"/>
      <c r="F876" s="59"/>
      <c r="G876" s="60"/>
      <c r="H876" s="60"/>
      <c r="I876" s="59"/>
      <c r="J876" s="60"/>
      <c r="K876" s="59"/>
      <c r="L876" s="59"/>
      <c r="M876" s="61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59"/>
      <c r="F877" s="59"/>
      <c r="G877" s="60"/>
      <c r="H877" s="60"/>
      <c r="I877" s="59"/>
      <c r="J877" s="60"/>
      <c r="K877" s="59"/>
      <c r="L877" s="59"/>
      <c r="M877" s="61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59"/>
      <c r="F878" s="59"/>
      <c r="G878" s="60"/>
      <c r="H878" s="60"/>
      <c r="I878" s="59"/>
      <c r="J878" s="60"/>
      <c r="K878" s="59"/>
      <c r="L878" s="59"/>
      <c r="M878" s="61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59"/>
      <c r="F879" s="59"/>
      <c r="G879" s="60"/>
      <c r="H879" s="60"/>
      <c r="I879" s="59"/>
      <c r="J879" s="60"/>
      <c r="K879" s="59"/>
      <c r="L879" s="59"/>
      <c r="M879" s="61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59"/>
      <c r="F880" s="59"/>
      <c r="G880" s="60"/>
      <c r="H880" s="60"/>
      <c r="I880" s="59"/>
      <c r="J880" s="60"/>
      <c r="K880" s="59"/>
      <c r="L880" s="59"/>
      <c r="M880" s="61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59"/>
      <c r="F881" s="59"/>
      <c r="G881" s="60"/>
      <c r="H881" s="60"/>
      <c r="I881" s="59"/>
      <c r="J881" s="60"/>
      <c r="K881" s="59"/>
      <c r="L881" s="59"/>
      <c r="M881" s="61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59"/>
      <c r="F882" s="59"/>
      <c r="G882" s="60"/>
      <c r="H882" s="60"/>
      <c r="I882" s="59"/>
      <c r="J882" s="60"/>
      <c r="K882" s="59"/>
      <c r="L882" s="59"/>
      <c r="M882" s="61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59"/>
      <c r="F883" s="59"/>
      <c r="G883" s="60"/>
      <c r="H883" s="60"/>
      <c r="I883" s="59"/>
      <c r="J883" s="60"/>
      <c r="K883" s="59"/>
      <c r="L883" s="59"/>
      <c r="M883" s="61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59"/>
      <c r="F884" s="59"/>
      <c r="G884" s="60"/>
      <c r="H884" s="60"/>
      <c r="I884" s="59"/>
      <c r="J884" s="60"/>
      <c r="K884" s="59"/>
      <c r="L884" s="59"/>
      <c r="M884" s="61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59"/>
      <c r="F885" s="59"/>
      <c r="G885" s="60"/>
      <c r="H885" s="60"/>
      <c r="I885" s="59"/>
      <c r="J885" s="60"/>
      <c r="K885" s="59"/>
      <c r="L885" s="59"/>
      <c r="M885" s="61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59"/>
      <c r="F886" s="59"/>
      <c r="G886" s="60"/>
      <c r="H886" s="60"/>
      <c r="I886" s="59"/>
      <c r="J886" s="60"/>
      <c r="K886" s="59"/>
      <c r="L886" s="59"/>
      <c r="M886" s="61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59"/>
      <c r="F887" s="59"/>
      <c r="G887" s="60"/>
      <c r="H887" s="60"/>
      <c r="I887" s="59"/>
      <c r="J887" s="60"/>
      <c r="K887" s="59"/>
      <c r="L887" s="59"/>
      <c r="M887" s="61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59"/>
      <c r="F888" s="59"/>
      <c r="G888" s="60"/>
      <c r="H888" s="60"/>
      <c r="I888" s="59"/>
      <c r="J888" s="60"/>
      <c r="K888" s="59"/>
      <c r="L888" s="59"/>
      <c r="M888" s="61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59"/>
      <c r="F889" s="59"/>
      <c r="G889" s="60"/>
      <c r="H889" s="60"/>
      <c r="I889" s="59"/>
      <c r="J889" s="60"/>
      <c r="K889" s="59"/>
      <c r="L889" s="59"/>
      <c r="M889" s="61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59"/>
      <c r="F890" s="59"/>
      <c r="G890" s="60"/>
      <c r="H890" s="60"/>
      <c r="I890" s="59"/>
      <c r="J890" s="60"/>
      <c r="K890" s="59"/>
      <c r="L890" s="59"/>
      <c r="M890" s="61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59"/>
      <c r="F891" s="59"/>
      <c r="G891" s="60"/>
      <c r="H891" s="60"/>
      <c r="I891" s="59"/>
      <c r="J891" s="60"/>
      <c r="K891" s="59"/>
      <c r="L891" s="59"/>
      <c r="M891" s="61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59"/>
      <c r="F892" s="59"/>
      <c r="G892" s="60"/>
      <c r="H892" s="60"/>
      <c r="I892" s="59"/>
      <c r="J892" s="60"/>
      <c r="K892" s="59"/>
      <c r="L892" s="59"/>
      <c r="M892" s="61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59"/>
      <c r="F893" s="59"/>
      <c r="G893" s="60"/>
      <c r="H893" s="60"/>
      <c r="I893" s="59"/>
      <c r="J893" s="60"/>
      <c r="K893" s="59"/>
      <c r="L893" s="59"/>
      <c r="M893" s="61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59"/>
      <c r="F894" s="59"/>
      <c r="G894" s="60"/>
      <c r="H894" s="60"/>
      <c r="I894" s="59"/>
      <c r="J894" s="60"/>
      <c r="K894" s="59"/>
      <c r="L894" s="59"/>
      <c r="M894" s="61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59"/>
      <c r="F895" s="59"/>
      <c r="G895" s="60"/>
      <c r="H895" s="60"/>
      <c r="I895" s="59"/>
      <c r="J895" s="60"/>
      <c r="K895" s="59"/>
      <c r="L895" s="59"/>
      <c r="M895" s="61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59"/>
      <c r="F896" s="59"/>
      <c r="G896" s="60"/>
      <c r="H896" s="60"/>
      <c r="I896" s="59"/>
      <c r="J896" s="60"/>
      <c r="K896" s="59"/>
      <c r="L896" s="59"/>
      <c r="M896" s="61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59"/>
      <c r="F897" s="59"/>
      <c r="G897" s="60"/>
      <c r="H897" s="60"/>
      <c r="I897" s="59"/>
      <c r="J897" s="60"/>
      <c r="K897" s="59"/>
      <c r="L897" s="59"/>
      <c r="M897" s="61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59"/>
      <c r="F898" s="59"/>
      <c r="G898" s="60"/>
      <c r="H898" s="60"/>
      <c r="I898" s="59"/>
      <c r="J898" s="60"/>
      <c r="K898" s="59"/>
      <c r="L898" s="59"/>
      <c r="M898" s="61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59"/>
      <c r="F899" s="59"/>
      <c r="G899" s="60"/>
      <c r="H899" s="60"/>
      <c r="I899" s="59"/>
      <c r="J899" s="60"/>
      <c r="K899" s="59"/>
      <c r="L899" s="59"/>
      <c r="M899" s="61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59"/>
      <c r="F900" s="59"/>
      <c r="G900" s="60"/>
      <c r="H900" s="60"/>
      <c r="I900" s="59"/>
      <c r="J900" s="60"/>
      <c r="K900" s="59"/>
      <c r="L900" s="59"/>
      <c r="M900" s="61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59"/>
      <c r="F901" s="59"/>
      <c r="G901" s="60"/>
      <c r="H901" s="60"/>
      <c r="I901" s="59"/>
      <c r="J901" s="60"/>
      <c r="K901" s="59"/>
      <c r="L901" s="59"/>
      <c r="M901" s="61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59"/>
      <c r="F902" s="59"/>
      <c r="G902" s="60"/>
      <c r="H902" s="60"/>
      <c r="I902" s="59"/>
      <c r="J902" s="60"/>
      <c r="K902" s="59"/>
      <c r="L902" s="59"/>
      <c r="M902" s="61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59"/>
      <c r="F903" s="59"/>
      <c r="G903" s="60"/>
      <c r="H903" s="60"/>
      <c r="I903" s="59"/>
      <c r="J903" s="60"/>
      <c r="K903" s="59"/>
      <c r="L903" s="59"/>
      <c r="M903" s="61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59"/>
      <c r="F904" s="59"/>
      <c r="G904" s="60"/>
      <c r="H904" s="60"/>
      <c r="I904" s="59"/>
      <c r="J904" s="60"/>
      <c r="K904" s="59"/>
      <c r="L904" s="59"/>
      <c r="M904" s="61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59"/>
      <c r="F905" s="59"/>
      <c r="G905" s="60"/>
      <c r="H905" s="60"/>
      <c r="I905" s="59"/>
      <c r="J905" s="60"/>
      <c r="K905" s="59"/>
      <c r="L905" s="59"/>
      <c r="M905" s="61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59"/>
      <c r="F906" s="59"/>
      <c r="G906" s="60"/>
      <c r="H906" s="60"/>
      <c r="I906" s="59"/>
      <c r="J906" s="60"/>
      <c r="K906" s="59"/>
      <c r="L906" s="59"/>
      <c r="M906" s="61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59"/>
      <c r="F907" s="59"/>
      <c r="G907" s="60"/>
      <c r="H907" s="60"/>
      <c r="I907" s="59"/>
      <c r="J907" s="60"/>
      <c r="K907" s="59"/>
      <c r="L907" s="59"/>
      <c r="M907" s="61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59"/>
      <c r="F908" s="59"/>
      <c r="G908" s="60"/>
      <c r="H908" s="60"/>
      <c r="I908" s="59"/>
      <c r="J908" s="60"/>
      <c r="K908" s="59"/>
      <c r="L908" s="59"/>
      <c r="M908" s="61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59"/>
      <c r="F909" s="59"/>
      <c r="G909" s="60"/>
      <c r="H909" s="60"/>
      <c r="I909" s="59"/>
      <c r="J909" s="60"/>
      <c r="K909" s="59"/>
      <c r="L909" s="59"/>
      <c r="M909" s="61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59"/>
      <c r="F910" s="59"/>
      <c r="G910" s="60"/>
      <c r="H910" s="60"/>
      <c r="I910" s="59"/>
      <c r="J910" s="60"/>
      <c r="K910" s="59"/>
      <c r="L910" s="59"/>
      <c r="M910" s="61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59"/>
      <c r="F911" s="59"/>
      <c r="G911" s="60"/>
      <c r="H911" s="60"/>
      <c r="I911" s="59"/>
      <c r="J911" s="60"/>
      <c r="K911" s="59"/>
      <c r="L911" s="59"/>
      <c r="M911" s="61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59"/>
      <c r="F912" s="59"/>
      <c r="G912" s="60"/>
      <c r="H912" s="60"/>
      <c r="I912" s="59"/>
      <c r="J912" s="60"/>
      <c r="K912" s="59"/>
      <c r="L912" s="59"/>
      <c r="M912" s="61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59"/>
      <c r="F913" s="59"/>
      <c r="G913" s="60"/>
      <c r="H913" s="60"/>
      <c r="I913" s="59"/>
      <c r="J913" s="60"/>
      <c r="K913" s="59"/>
      <c r="L913" s="59"/>
      <c r="M913" s="61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59"/>
      <c r="F914" s="59"/>
      <c r="G914" s="60"/>
      <c r="H914" s="60"/>
      <c r="I914" s="59"/>
      <c r="J914" s="60"/>
      <c r="K914" s="59"/>
      <c r="L914" s="59"/>
      <c r="M914" s="61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59"/>
      <c r="F915" s="59"/>
      <c r="G915" s="60"/>
      <c r="H915" s="60"/>
      <c r="I915" s="59"/>
      <c r="J915" s="60"/>
      <c r="K915" s="59"/>
      <c r="L915" s="59"/>
      <c r="M915" s="61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59"/>
      <c r="F916" s="59"/>
      <c r="G916" s="60"/>
      <c r="H916" s="60"/>
      <c r="I916" s="59"/>
      <c r="J916" s="60"/>
      <c r="K916" s="59"/>
      <c r="L916" s="59"/>
      <c r="M916" s="61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59"/>
      <c r="F917" s="59"/>
      <c r="G917" s="60"/>
      <c r="H917" s="60"/>
      <c r="I917" s="59"/>
      <c r="J917" s="60"/>
      <c r="K917" s="59"/>
      <c r="L917" s="59"/>
      <c r="M917" s="61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59"/>
      <c r="F918" s="59"/>
      <c r="G918" s="60"/>
      <c r="H918" s="60"/>
      <c r="I918" s="59"/>
      <c r="J918" s="60"/>
      <c r="K918" s="59"/>
      <c r="L918" s="59"/>
      <c r="M918" s="61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59"/>
      <c r="F919" s="59"/>
      <c r="G919" s="60"/>
      <c r="H919" s="60"/>
      <c r="I919" s="59"/>
      <c r="J919" s="60"/>
      <c r="K919" s="59"/>
      <c r="L919" s="59"/>
      <c r="M919" s="61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59"/>
      <c r="F920" s="59"/>
      <c r="G920" s="60"/>
      <c r="H920" s="60"/>
      <c r="I920" s="59"/>
      <c r="J920" s="60"/>
      <c r="K920" s="59"/>
      <c r="L920" s="59"/>
      <c r="M920" s="61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59"/>
      <c r="F921" s="59"/>
      <c r="G921" s="60"/>
      <c r="H921" s="60"/>
      <c r="I921" s="59"/>
      <c r="J921" s="60"/>
      <c r="K921" s="59"/>
      <c r="L921" s="59"/>
      <c r="M921" s="61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59"/>
      <c r="F922" s="59"/>
      <c r="G922" s="60"/>
      <c r="H922" s="60"/>
      <c r="I922" s="59"/>
      <c r="J922" s="60"/>
      <c r="K922" s="59"/>
      <c r="L922" s="59"/>
      <c r="M922" s="61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59"/>
      <c r="F923" s="59"/>
      <c r="G923" s="60"/>
      <c r="H923" s="60"/>
      <c r="I923" s="59"/>
      <c r="J923" s="60"/>
      <c r="K923" s="59"/>
      <c r="L923" s="59"/>
      <c r="M923" s="61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59"/>
      <c r="F924" s="59"/>
      <c r="G924" s="60"/>
      <c r="H924" s="60"/>
      <c r="I924" s="59"/>
      <c r="J924" s="60"/>
      <c r="K924" s="59"/>
      <c r="L924" s="59"/>
      <c r="M924" s="61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59"/>
      <c r="F925" s="59"/>
      <c r="G925" s="60"/>
      <c r="H925" s="60"/>
      <c r="I925" s="59"/>
      <c r="J925" s="60"/>
      <c r="K925" s="59"/>
      <c r="L925" s="59"/>
      <c r="M925" s="61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59"/>
      <c r="F926" s="59"/>
      <c r="G926" s="60"/>
      <c r="H926" s="60"/>
      <c r="I926" s="59"/>
      <c r="J926" s="60"/>
      <c r="K926" s="59"/>
      <c r="L926" s="59"/>
      <c r="M926" s="61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59"/>
      <c r="F927" s="59"/>
      <c r="G927" s="60"/>
      <c r="H927" s="60"/>
      <c r="I927" s="59"/>
      <c r="J927" s="60"/>
      <c r="K927" s="59"/>
      <c r="L927" s="59"/>
      <c r="M927" s="61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59"/>
      <c r="F928" s="59"/>
      <c r="G928" s="60"/>
      <c r="H928" s="60"/>
      <c r="I928" s="59"/>
      <c r="J928" s="60"/>
      <c r="K928" s="59"/>
      <c r="L928" s="59"/>
      <c r="M928" s="61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59"/>
      <c r="F929" s="59"/>
      <c r="G929" s="60"/>
      <c r="H929" s="60"/>
      <c r="I929" s="59"/>
      <c r="J929" s="60"/>
      <c r="K929" s="59"/>
      <c r="L929" s="59"/>
      <c r="M929" s="61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59"/>
      <c r="F930" s="59"/>
      <c r="G930" s="60"/>
      <c r="H930" s="60"/>
      <c r="I930" s="59"/>
      <c r="J930" s="60"/>
      <c r="K930" s="59"/>
      <c r="L930" s="59"/>
      <c r="M930" s="61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59"/>
      <c r="F931" s="59"/>
      <c r="G931" s="60"/>
      <c r="H931" s="60"/>
      <c r="I931" s="59"/>
      <c r="J931" s="60"/>
      <c r="K931" s="59"/>
      <c r="L931" s="59"/>
      <c r="M931" s="61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59"/>
      <c r="F932" s="59"/>
      <c r="G932" s="60"/>
      <c r="H932" s="60"/>
      <c r="I932" s="59"/>
      <c r="J932" s="60"/>
      <c r="K932" s="59"/>
      <c r="L932" s="59"/>
      <c r="M932" s="61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59"/>
      <c r="F933" s="59"/>
      <c r="G933" s="60"/>
      <c r="H933" s="60"/>
      <c r="I933" s="59"/>
      <c r="J933" s="60"/>
      <c r="K933" s="59"/>
      <c r="L933" s="59"/>
      <c r="M933" s="61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59"/>
      <c r="F934" s="59"/>
      <c r="G934" s="60"/>
      <c r="H934" s="60"/>
      <c r="I934" s="59"/>
      <c r="J934" s="60"/>
      <c r="K934" s="59"/>
      <c r="L934" s="59"/>
      <c r="M934" s="61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59"/>
      <c r="F935" s="59"/>
      <c r="G935" s="60"/>
      <c r="H935" s="60"/>
      <c r="I935" s="59"/>
      <c r="J935" s="60"/>
      <c r="K935" s="59"/>
      <c r="L935" s="59"/>
      <c r="M935" s="61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59"/>
      <c r="F936" s="59"/>
      <c r="G936" s="60"/>
      <c r="H936" s="60"/>
      <c r="I936" s="59"/>
      <c r="J936" s="60"/>
      <c r="K936" s="59"/>
      <c r="L936" s="59"/>
      <c r="M936" s="61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59"/>
      <c r="F937" s="59"/>
      <c r="G937" s="60"/>
      <c r="H937" s="60"/>
      <c r="I937" s="59"/>
      <c r="J937" s="60"/>
      <c r="K937" s="59"/>
      <c r="L937" s="59"/>
      <c r="M937" s="61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59"/>
      <c r="F938" s="59"/>
      <c r="G938" s="60"/>
      <c r="H938" s="60"/>
      <c r="I938" s="59"/>
      <c r="J938" s="60"/>
      <c r="K938" s="59"/>
      <c r="L938" s="59"/>
      <c r="M938" s="61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59"/>
      <c r="F939" s="59"/>
      <c r="G939" s="60"/>
      <c r="H939" s="60"/>
      <c r="I939" s="59"/>
      <c r="J939" s="60"/>
      <c r="K939" s="59"/>
      <c r="L939" s="59"/>
      <c r="M939" s="61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59"/>
      <c r="F940" s="59"/>
      <c r="G940" s="60"/>
      <c r="H940" s="60"/>
      <c r="I940" s="59"/>
      <c r="J940" s="60"/>
      <c r="K940" s="59"/>
      <c r="L940" s="59"/>
      <c r="M940" s="61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59"/>
      <c r="F941" s="59"/>
      <c r="G941" s="60"/>
      <c r="H941" s="60"/>
      <c r="I941" s="59"/>
      <c r="J941" s="60"/>
      <c r="K941" s="59"/>
      <c r="L941" s="59"/>
      <c r="M941" s="61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59"/>
      <c r="F942" s="59"/>
      <c r="G942" s="60"/>
      <c r="H942" s="60"/>
      <c r="I942" s="59"/>
      <c r="J942" s="60"/>
      <c r="K942" s="59"/>
      <c r="L942" s="59"/>
      <c r="M942" s="61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59"/>
      <c r="F943" s="59"/>
      <c r="G943" s="60"/>
      <c r="H943" s="60"/>
      <c r="I943" s="59"/>
      <c r="J943" s="60"/>
      <c r="K943" s="59"/>
      <c r="L943" s="59"/>
      <c r="M943" s="61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59"/>
      <c r="F944" s="59"/>
      <c r="G944" s="60"/>
      <c r="H944" s="60"/>
      <c r="I944" s="59"/>
      <c r="J944" s="60"/>
      <c r="K944" s="59"/>
      <c r="L944" s="59"/>
      <c r="M944" s="61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59"/>
      <c r="F945" s="59"/>
      <c r="G945" s="60"/>
      <c r="H945" s="60"/>
      <c r="I945" s="59"/>
      <c r="J945" s="60"/>
      <c r="K945" s="59"/>
      <c r="L945" s="59"/>
      <c r="M945" s="61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59"/>
      <c r="F946" s="59"/>
      <c r="G946" s="60"/>
      <c r="H946" s="60"/>
      <c r="I946" s="59"/>
      <c r="J946" s="60"/>
      <c r="K946" s="59"/>
      <c r="L946" s="59"/>
      <c r="M946" s="61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59"/>
      <c r="F947" s="59"/>
      <c r="G947" s="60"/>
      <c r="H947" s="60"/>
      <c r="I947" s="59"/>
      <c r="J947" s="60"/>
      <c r="K947" s="59"/>
      <c r="L947" s="59"/>
      <c r="M947" s="61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59"/>
      <c r="F948" s="59"/>
      <c r="G948" s="60"/>
      <c r="H948" s="60"/>
      <c r="I948" s="59"/>
      <c r="J948" s="60"/>
      <c r="K948" s="59"/>
      <c r="L948" s="59"/>
      <c r="M948" s="61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59"/>
      <c r="F949" s="59"/>
      <c r="G949" s="60"/>
      <c r="H949" s="60"/>
      <c r="I949" s="59"/>
      <c r="J949" s="60"/>
      <c r="K949" s="59"/>
      <c r="L949" s="59"/>
      <c r="M949" s="61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59"/>
      <c r="F950" s="59"/>
      <c r="G950" s="60"/>
      <c r="H950" s="60"/>
      <c r="I950" s="59"/>
      <c r="J950" s="60"/>
      <c r="K950" s="59"/>
      <c r="L950" s="59"/>
      <c r="M950" s="61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59"/>
      <c r="F951" s="59"/>
      <c r="G951" s="60"/>
      <c r="H951" s="60"/>
      <c r="I951" s="59"/>
      <c r="J951" s="60"/>
      <c r="K951" s="59"/>
      <c r="L951" s="59"/>
      <c r="M951" s="61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59"/>
      <c r="F952" s="59"/>
      <c r="G952" s="60"/>
      <c r="H952" s="60"/>
      <c r="I952" s="59"/>
      <c r="J952" s="60"/>
      <c r="K952" s="59"/>
      <c r="L952" s="59"/>
      <c r="M952" s="61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59"/>
      <c r="F953" s="59"/>
      <c r="G953" s="60"/>
      <c r="H953" s="60"/>
      <c r="I953" s="59"/>
      <c r="J953" s="60"/>
      <c r="K953" s="59"/>
      <c r="L953" s="59"/>
      <c r="M953" s="61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59"/>
      <c r="F954" s="59"/>
      <c r="G954" s="60"/>
      <c r="H954" s="60"/>
      <c r="I954" s="59"/>
      <c r="J954" s="60"/>
      <c r="K954" s="59"/>
      <c r="L954" s="59"/>
      <c r="M954" s="61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59"/>
      <c r="F955" s="59"/>
      <c r="G955" s="60"/>
      <c r="H955" s="60"/>
      <c r="I955" s="59"/>
      <c r="J955" s="60"/>
      <c r="K955" s="59"/>
      <c r="L955" s="59"/>
      <c r="M955" s="61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59"/>
      <c r="F956" s="59"/>
      <c r="G956" s="60"/>
      <c r="H956" s="60"/>
      <c r="I956" s="59"/>
      <c r="J956" s="60"/>
      <c r="K956" s="59"/>
      <c r="L956" s="59"/>
      <c r="M956" s="61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59"/>
      <c r="F957" s="59"/>
      <c r="G957" s="60"/>
      <c r="H957" s="60"/>
      <c r="I957" s="59"/>
      <c r="J957" s="60"/>
      <c r="K957" s="59"/>
      <c r="L957" s="59"/>
      <c r="M957" s="61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59"/>
      <c r="F958" s="59"/>
      <c r="G958" s="60"/>
      <c r="H958" s="60"/>
      <c r="I958" s="59"/>
      <c r="J958" s="60"/>
      <c r="K958" s="59"/>
      <c r="L958" s="59"/>
      <c r="M958" s="61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59"/>
      <c r="F959" s="59"/>
      <c r="G959" s="60"/>
      <c r="H959" s="60"/>
      <c r="I959" s="59"/>
      <c r="J959" s="60"/>
      <c r="K959" s="59"/>
      <c r="L959" s="59"/>
      <c r="M959" s="61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59"/>
      <c r="F960" s="59"/>
      <c r="G960" s="60"/>
      <c r="H960" s="60"/>
      <c r="I960" s="59"/>
      <c r="J960" s="60"/>
      <c r="K960" s="59"/>
      <c r="L960" s="59"/>
      <c r="M960" s="61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59"/>
      <c r="F961" s="59"/>
      <c r="G961" s="60"/>
      <c r="H961" s="60"/>
      <c r="I961" s="59"/>
      <c r="J961" s="60"/>
      <c r="K961" s="59"/>
      <c r="L961" s="59"/>
      <c r="M961" s="61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59"/>
      <c r="F962" s="59"/>
      <c r="G962" s="60"/>
      <c r="H962" s="60"/>
      <c r="I962" s="59"/>
      <c r="J962" s="60"/>
      <c r="K962" s="59"/>
      <c r="L962" s="59"/>
      <c r="M962" s="61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59"/>
      <c r="F963" s="59"/>
      <c r="G963" s="60"/>
      <c r="H963" s="60"/>
      <c r="I963" s="59"/>
      <c r="J963" s="60"/>
      <c r="K963" s="59"/>
      <c r="L963" s="59"/>
      <c r="M963" s="61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59"/>
      <c r="F964" s="59"/>
      <c r="G964" s="60"/>
      <c r="H964" s="60"/>
      <c r="I964" s="59"/>
      <c r="J964" s="60"/>
      <c r="K964" s="59"/>
      <c r="L964" s="59"/>
      <c r="M964" s="61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59"/>
      <c r="F965" s="59"/>
      <c r="G965" s="60"/>
      <c r="H965" s="60"/>
      <c r="I965" s="59"/>
      <c r="J965" s="60"/>
      <c r="K965" s="59"/>
      <c r="L965" s="59"/>
      <c r="M965" s="61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59"/>
      <c r="F966" s="59"/>
      <c r="G966" s="60"/>
      <c r="H966" s="60"/>
      <c r="I966" s="59"/>
      <c r="J966" s="60"/>
      <c r="K966" s="59"/>
      <c r="L966" s="59"/>
      <c r="M966" s="61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59"/>
      <c r="F967" s="59"/>
      <c r="G967" s="60"/>
      <c r="H967" s="60"/>
      <c r="I967" s="59"/>
      <c r="J967" s="60"/>
      <c r="K967" s="59"/>
      <c r="L967" s="59"/>
      <c r="M967" s="61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59"/>
      <c r="F968" s="59"/>
      <c r="G968" s="60"/>
      <c r="H968" s="60"/>
      <c r="I968" s="59"/>
      <c r="J968" s="60"/>
      <c r="K968" s="59"/>
      <c r="L968" s="59"/>
      <c r="M968" s="61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59"/>
      <c r="F969" s="59"/>
      <c r="G969" s="60"/>
      <c r="H969" s="60"/>
      <c r="I969" s="59"/>
      <c r="J969" s="60"/>
      <c r="K969" s="59"/>
      <c r="L969" s="59"/>
      <c r="M969" s="61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59"/>
      <c r="F970" s="59"/>
      <c r="G970" s="60"/>
      <c r="H970" s="60"/>
      <c r="I970" s="59"/>
      <c r="J970" s="60"/>
      <c r="K970" s="59"/>
      <c r="L970" s="59"/>
      <c r="M970" s="61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59"/>
      <c r="F971" s="59"/>
      <c r="G971" s="60"/>
      <c r="H971" s="60"/>
      <c r="I971" s="59"/>
      <c r="J971" s="60"/>
      <c r="K971" s="59"/>
      <c r="L971" s="59"/>
      <c r="M971" s="61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59"/>
      <c r="F972" s="59"/>
      <c r="G972" s="60"/>
      <c r="H972" s="60"/>
      <c r="I972" s="59"/>
      <c r="J972" s="60"/>
      <c r="K972" s="59"/>
      <c r="L972" s="59"/>
      <c r="M972" s="61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59"/>
      <c r="F973" s="59"/>
      <c r="G973" s="60"/>
      <c r="H973" s="60"/>
      <c r="I973" s="59"/>
      <c r="J973" s="60"/>
      <c r="K973" s="59"/>
      <c r="L973" s="59"/>
      <c r="M973" s="61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59"/>
      <c r="F974" s="59"/>
      <c r="G974" s="60"/>
      <c r="H974" s="60"/>
      <c r="I974" s="59"/>
      <c r="J974" s="60"/>
      <c r="K974" s="59"/>
      <c r="L974" s="59"/>
      <c r="M974" s="61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59"/>
      <c r="F975" s="59"/>
      <c r="G975" s="60"/>
      <c r="H975" s="60"/>
      <c r="I975" s="59"/>
      <c r="J975" s="60"/>
      <c r="K975" s="59"/>
      <c r="L975" s="59"/>
      <c r="M975" s="61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59"/>
      <c r="F976" s="59"/>
      <c r="G976" s="60"/>
      <c r="H976" s="60"/>
      <c r="I976" s="59"/>
      <c r="J976" s="60"/>
      <c r="K976" s="59"/>
      <c r="L976" s="59"/>
      <c r="M976" s="61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59"/>
      <c r="F977" s="59"/>
      <c r="G977" s="60"/>
      <c r="H977" s="60"/>
      <c r="I977" s="59"/>
      <c r="J977" s="60"/>
      <c r="K977" s="59"/>
      <c r="L977" s="59"/>
      <c r="M977" s="61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59"/>
      <c r="F978" s="59"/>
      <c r="G978" s="60"/>
      <c r="H978" s="60"/>
      <c r="I978" s="59"/>
      <c r="J978" s="60"/>
      <c r="K978" s="59"/>
      <c r="L978" s="59"/>
      <c r="M978" s="61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59"/>
      <c r="F979" s="59"/>
      <c r="G979" s="60"/>
      <c r="H979" s="60"/>
      <c r="I979" s="59"/>
      <c r="J979" s="60"/>
      <c r="K979" s="59"/>
      <c r="L979" s="59"/>
      <c r="M979" s="61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59"/>
      <c r="F980" s="59"/>
      <c r="G980" s="60"/>
      <c r="H980" s="60"/>
      <c r="I980" s="59"/>
      <c r="J980" s="60"/>
      <c r="K980" s="59"/>
      <c r="L980" s="59"/>
      <c r="M980" s="61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59"/>
      <c r="F981" s="59"/>
      <c r="G981" s="60"/>
      <c r="H981" s="60"/>
      <c r="I981" s="59"/>
      <c r="J981" s="60"/>
      <c r="K981" s="59"/>
      <c r="L981" s="59"/>
      <c r="M981" s="61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59"/>
      <c r="F982" s="59"/>
      <c r="G982" s="60"/>
      <c r="H982" s="60"/>
      <c r="I982" s="59"/>
      <c r="J982" s="60"/>
      <c r="K982" s="59"/>
      <c r="L982" s="59"/>
      <c r="M982" s="61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59"/>
      <c r="F983" s="59"/>
      <c r="G983" s="60"/>
      <c r="H983" s="60"/>
      <c r="I983" s="59"/>
      <c r="J983" s="60"/>
      <c r="K983" s="59"/>
      <c r="L983" s="59"/>
      <c r="M983" s="61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59"/>
      <c r="F984" s="59"/>
      <c r="G984" s="60"/>
      <c r="H984" s="60"/>
      <c r="I984" s="59"/>
      <c r="J984" s="60"/>
      <c r="K984" s="59"/>
      <c r="L984" s="59"/>
      <c r="M984" s="61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59"/>
      <c r="F985" s="59"/>
      <c r="G985" s="60"/>
      <c r="H985" s="60"/>
      <c r="I985" s="59"/>
      <c r="J985" s="60"/>
      <c r="K985" s="59"/>
      <c r="L985" s="59"/>
      <c r="M985" s="61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59"/>
      <c r="F986" s="59"/>
      <c r="G986" s="60"/>
      <c r="H986" s="60"/>
      <c r="I986" s="59"/>
      <c r="J986" s="60"/>
      <c r="K986" s="59"/>
      <c r="L986" s="59"/>
      <c r="M986" s="61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59"/>
      <c r="F987" s="59"/>
      <c r="G987" s="60"/>
      <c r="H987" s="60"/>
      <c r="I987" s="59"/>
      <c r="J987" s="60"/>
      <c r="K987" s="59"/>
      <c r="L987" s="59"/>
      <c r="M987" s="61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59"/>
      <c r="F988" s="59"/>
      <c r="G988" s="60"/>
      <c r="H988" s="60"/>
      <c r="I988" s="59"/>
      <c r="J988" s="60"/>
      <c r="K988" s="59"/>
      <c r="L988" s="59"/>
      <c r="M988" s="61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59"/>
      <c r="F989" s="59"/>
      <c r="G989" s="60"/>
      <c r="H989" s="60"/>
      <c r="I989" s="59"/>
      <c r="J989" s="60"/>
      <c r="K989" s="59"/>
      <c r="L989" s="59"/>
      <c r="M989" s="61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59"/>
      <c r="F990" s="59"/>
      <c r="G990" s="60"/>
      <c r="H990" s="60"/>
      <c r="I990" s="59"/>
      <c r="J990" s="60"/>
      <c r="K990" s="59"/>
      <c r="L990" s="59"/>
      <c r="M990" s="61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59"/>
      <c r="F991" s="59"/>
      <c r="G991" s="60"/>
      <c r="H991" s="60"/>
      <c r="I991" s="59"/>
      <c r="J991" s="60"/>
      <c r="K991" s="59"/>
      <c r="L991" s="59"/>
      <c r="M991" s="61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59"/>
      <c r="F992" s="59"/>
      <c r="G992" s="60"/>
      <c r="H992" s="60"/>
      <c r="I992" s="59"/>
      <c r="J992" s="60"/>
      <c r="K992" s="59"/>
      <c r="L992" s="59"/>
      <c r="M992" s="61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59"/>
      <c r="F993" s="59"/>
      <c r="G993" s="60"/>
      <c r="H993" s="60"/>
      <c r="I993" s="59"/>
      <c r="J993" s="60"/>
      <c r="K993" s="59"/>
      <c r="L993" s="59"/>
      <c r="M993" s="61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59"/>
      <c r="F994" s="59"/>
      <c r="G994" s="60"/>
      <c r="H994" s="60"/>
      <c r="I994" s="59"/>
      <c r="J994" s="60"/>
      <c r="K994" s="59"/>
      <c r="L994" s="59"/>
      <c r="M994" s="61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59"/>
      <c r="F995" s="59"/>
      <c r="G995" s="60"/>
      <c r="H995" s="60"/>
      <c r="I995" s="59"/>
      <c r="J995" s="60"/>
      <c r="K995" s="59"/>
      <c r="L995" s="59"/>
      <c r="M995" s="61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59"/>
      <c r="F996" s="59"/>
      <c r="G996" s="60"/>
      <c r="H996" s="60"/>
      <c r="I996" s="59"/>
      <c r="J996" s="60"/>
      <c r="K996" s="59"/>
      <c r="L996" s="59"/>
      <c r="M996" s="61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59"/>
      <c r="F997" s="59"/>
      <c r="G997" s="60"/>
      <c r="H997" s="60"/>
      <c r="I997" s="59"/>
      <c r="J997" s="60"/>
      <c r="K997" s="59"/>
      <c r="L997" s="59"/>
      <c r="M997" s="61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mergeCells count="350"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J37:J39"/>
    <mergeCell ref="K37:K39"/>
    <mergeCell ref="L37:L39"/>
    <mergeCell ref="M37:M39"/>
    <mergeCell ref="N37:N39"/>
    <mergeCell ref="O37:O39"/>
    <mergeCell ref="P37:P39"/>
    <mergeCell ref="Q37:Q39"/>
    <mergeCell ref="A33:T33"/>
    <mergeCell ref="A34:T34"/>
    <mergeCell ref="B36:D36"/>
    <mergeCell ref="E36:N36"/>
    <mergeCell ref="O36:R36"/>
    <mergeCell ref="S36:S39"/>
    <mergeCell ref="T36:T39"/>
    <mergeCell ref="R37:R39"/>
    <mergeCell ref="F37:F39"/>
    <mergeCell ref="G37:G39"/>
    <mergeCell ref="H37:H39"/>
    <mergeCell ref="I37:I39"/>
    <mergeCell ref="A67:T67"/>
    <mergeCell ref="A68:T68"/>
    <mergeCell ref="B70:D70"/>
    <mergeCell ref="E70:N70"/>
    <mergeCell ref="O70:R70"/>
    <mergeCell ref="Q71:Q73"/>
    <mergeCell ref="R71:R73"/>
    <mergeCell ref="J71:J73"/>
    <mergeCell ref="K71:K73"/>
    <mergeCell ref="L71:L73"/>
    <mergeCell ref="M71:M73"/>
    <mergeCell ref="N71:N73"/>
    <mergeCell ref="O71:O73"/>
    <mergeCell ref="P71:P73"/>
    <mergeCell ref="A4:A6"/>
    <mergeCell ref="B5:B7"/>
    <mergeCell ref="A36:A38"/>
    <mergeCell ref="A70:A72"/>
    <mergeCell ref="B71:B73"/>
    <mergeCell ref="A102:A104"/>
    <mergeCell ref="Q5:Q7"/>
    <mergeCell ref="R5:R7"/>
    <mergeCell ref="A1:T1"/>
    <mergeCell ref="A2:T2"/>
    <mergeCell ref="B4:D4"/>
    <mergeCell ref="E4:N4"/>
    <mergeCell ref="O4:R4"/>
    <mergeCell ref="S4:S7"/>
    <mergeCell ref="T4:T7"/>
    <mergeCell ref="B37:B39"/>
    <mergeCell ref="C37:C39"/>
    <mergeCell ref="D37:D39"/>
    <mergeCell ref="E37:E39"/>
    <mergeCell ref="S70:S73"/>
    <mergeCell ref="T70:T73"/>
    <mergeCell ref="C71:C73"/>
    <mergeCell ref="D71:D73"/>
    <mergeCell ref="E71:E73"/>
    <mergeCell ref="F71:F73"/>
    <mergeCell ref="G71:G73"/>
    <mergeCell ref="H71:H73"/>
    <mergeCell ref="I71:I73"/>
    <mergeCell ref="B103:B105"/>
    <mergeCell ref="C103:C105"/>
    <mergeCell ref="D103:D105"/>
    <mergeCell ref="E103:E105"/>
    <mergeCell ref="F103:F105"/>
    <mergeCell ref="G103:G105"/>
    <mergeCell ref="H103:H105"/>
    <mergeCell ref="I103:I105"/>
    <mergeCell ref="J103:J105"/>
    <mergeCell ref="K103:K105"/>
    <mergeCell ref="L103:L105"/>
    <mergeCell ref="M103:M105"/>
    <mergeCell ref="N103:N105"/>
    <mergeCell ref="O103:O105"/>
    <mergeCell ref="P103:P105"/>
    <mergeCell ref="Q103:Q105"/>
    <mergeCell ref="A99:T99"/>
    <mergeCell ref="A100:T100"/>
    <mergeCell ref="B102:D102"/>
    <mergeCell ref="E102:N102"/>
    <mergeCell ref="O102:R102"/>
    <mergeCell ref="S102:S105"/>
    <mergeCell ref="T102:T105"/>
    <mergeCell ref="S136:S139"/>
    <mergeCell ref="T136:T139"/>
    <mergeCell ref="B137:B139"/>
    <mergeCell ref="C137:C139"/>
    <mergeCell ref="D137:D139"/>
    <mergeCell ref="E137:E139"/>
    <mergeCell ref="F137:F139"/>
    <mergeCell ref="G137:G139"/>
    <mergeCell ref="H137:H139"/>
    <mergeCell ref="P137:P139"/>
    <mergeCell ref="Q137:Q139"/>
    <mergeCell ref="R137:R139"/>
    <mergeCell ref="I137:I139"/>
    <mergeCell ref="J137:J139"/>
    <mergeCell ref="K137:K139"/>
    <mergeCell ref="L137:L139"/>
    <mergeCell ref="M137:M139"/>
    <mergeCell ref="N137:N139"/>
    <mergeCell ref="O137:O139"/>
    <mergeCell ref="R103:R105"/>
    <mergeCell ref="A133:T133"/>
    <mergeCell ref="A134:T134"/>
    <mergeCell ref="A136:A138"/>
    <mergeCell ref="B136:D136"/>
    <mergeCell ref="E136:N136"/>
    <mergeCell ref="O136:R136"/>
    <mergeCell ref="C327:C329"/>
    <mergeCell ref="D327:D329"/>
    <mergeCell ref="E327:E329"/>
    <mergeCell ref="F327:F329"/>
    <mergeCell ref="G327:G329"/>
    <mergeCell ref="H327:H329"/>
    <mergeCell ref="I327:I329"/>
    <mergeCell ref="J327:J329"/>
    <mergeCell ref="K327:K329"/>
    <mergeCell ref="L327:L329"/>
    <mergeCell ref="M327:M329"/>
    <mergeCell ref="N327:N329"/>
    <mergeCell ref="O327:O329"/>
    <mergeCell ref="P327:P329"/>
    <mergeCell ref="J364:J366"/>
    <mergeCell ref="K364:K366"/>
    <mergeCell ref="L364:L366"/>
    <mergeCell ref="M364:M366"/>
    <mergeCell ref="N364:N366"/>
    <mergeCell ref="O364:O366"/>
    <mergeCell ref="P364:P366"/>
    <mergeCell ref="Q364:Q366"/>
    <mergeCell ref="A360:T360"/>
    <mergeCell ref="A361:T361"/>
    <mergeCell ref="B363:D363"/>
    <mergeCell ref="E363:N363"/>
    <mergeCell ref="O363:R363"/>
    <mergeCell ref="S363:S366"/>
    <mergeCell ref="T363:T366"/>
    <mergeCell ref="R364:R366"/>
    <mergeCell ref="F364:F366"/>
    <mergeCell ref="G364:G366"/>
    <mergeCell ref="H364:H366"/>
    <mergeCell ref="I364:I366"/>
    <mergeCell ref="A393:T393"/>
    <mergeCell ref="A394:T394"/>
    <mergeCell ref="B396:D396"/>
    <mergeCell ref="E396:N396"/>
    <mergeCell ref="O396:R396"/>
    <mergeCell ref="Q397:Q399"/>
    <mergeCell ref="R397:R399"/>
    <mergeCell ref="J397:J399"/>
    <mergeCell ref="K397:K399"/>
    <mergeCell ref="L397:L399"/>
    <mergeCell ref="M397:M399"/>
    <mergeCell ref="N397:N399"/>
    <mergeCell ref="O397:O399"/>
    <mergeCell ref="P397:P399"/>
    <mergeCell ref="A326:A328"/>
    <mergeCell ref="B327:B329"/>
    <mergeCell ref="A363:A365"/>
    <mergeCell ref="A396:A398"/>
    <mergeCell ref="B397:B399"/>
    <mergeCell ref="A428:A430"/>
    <mergeCell ref="Q327:Q329"/>
    <mergeCell ref="R327:R329"/>
    <mergeCell ref="A323:T323"/>
    <mergeCell ref="A324:T324"/>
    <mergeCell ref="B326:D326"/>
    <mergeCell ref="E326:N326"/>
    <mergeCell ref="O326:R326"/>
    <mergeCell ref="S326:S329"/>
    <mergeCell ref="T326:T329"/>
    <mergeCell ref="B364:B366"/>
    <mergeCell ref="C364:C366"/>
    <mergeCell ref="D364:D366"/>
    <mergeCell ref="E364:E366"/>
    <mergeCell ref="S396:S399"/>
    <mergeCell ref="T396:T399"/>
    <mergeCell ref="C397:C399"/>
    <mergeCell ref="D397:D399"/>
    <mergeCell ref="E397:E399"/>
    <mergeCell ref="F397:F399"/>
    <mergeCell ref="G397:G399"/>
    <mergeCell ref="H397:H399"/>
    <mergeCell ref="I397:I399"/>
    <mergeCell ref="P429:P431"/>
    <mergeCell ref="Q429:Q431"/>
    <mergeCell ref="A425:T425"/>
    <mergeCell ref="A426:T426"/>
    <mergeCell ref="B428:D428"/>
    <mergeCell ref="E428:N428"/>
    <mergeCell ref="O428:R428"/>
    <mergeCell ref="S428:S431"/>
    <mergeCell ref="T428:T431"/>
    <mergeCell ref="R429:R431"/>
    <mergeCell ref="B429:B431"/>
    <mergeCell ref="C429:C431"/>
    <mergeCell ref="D429:D431"/>
    <mergeCell ref="E429:E431"/>
    <mergeCell ref="F429:F431"/>
    <mergeCell ref="G429:G431"/>
    <mergeCell ref="H429:H431"/>
    <mergeCell ref="I429:I431"/>
    <mergeCell ref="J429:J431"/>
    <mergeCell ref="K429:K431"/>
    <mergeCell ref="L429:L431"/>
    <mergeCell ref="M429:M431"/>
    <mergeCell ref="N429:N431"/>
    <mergeCell ref="O429:O431"/>
    <mergeCell ref="C164:C166"/>
    <mergeCell ref="D164:D166"/>
    <mergeCell ref="E164:E166"/>
    <mergeCell ref="F164:F166"/>
    <mergeCell ref="G164:G166"/>
    <mergeCell ref="H164:H166"/>
    <mergeCell ref="I164:I166"/>
    <mergeCell ref="J164:J166"/>
    <mergeCell ref="K164:K166"/>
    <mergeCell ref="L164:L166"/>
    <mergeCell ref="M164:M166"/>
    <mergeCell ref="N164:N166"/>
    <mergeCell ref="O164:O166"/>
    <mergeCell ref="P164:P166"/>
    <mergeCell ref="J197:J199"/>
    <mergeCell ref="K197:K199"/>
    <mergeCell ref="L197:L199"/>
    <mergeCell ref="M197:M199"/>
    <mergeCell ref="N197:N199"/>
    <mergeCell ref="O197:O199"/>
    <mergeCell ref="P197:P199"/>
    <mergeCell ref="Q197:Q199"/>
    <mergeCell ref="A193:T193"/>
    <mergeCell ref="A194:T194"/>
    <mergeCell ref="B196:D196"/>
    <mergeCell ref="E196:N196"/>
    <mergeCell ref="O196:R196"/>
    <mergeCell ref="S196:S199"/>
    <mergeCell ref="T196:T199"/>
    <mergeCell ref="R197:R199"/>
    <mergeCell ref="F197:F199"/>
    <mergeCell ref="G197:G199"/>
    <mergeCell ref="H197:H199"/>
    <mergeCell ref="I197:I199"/>
    <mergeCell ref="A224:T224"/>
    <mergeCell ref="A225:T225"/>
    <mergeCell ref="B227:D227"/>
    <mergeCell ref="E227:N227"/>
    <mergeCell ref="O227:R227"/>
    <mergeCell ref="Q228:Q230"/>
    <mergeCell ref="R228:R230"/>
    <mergeCell ref="J228:J230"/>
    <mergeCell ref="K228:K230"/>
    <mergeCell ref="L228:L230"/>
    <mergeCell ref="M228:M230"/>
    <mergeCell ref="N228:N230"/>
    <mergeCell ref="O228:O230"/>
    <mergeCell ref="P228:P230"/>
    <mergeCell ref="A163:A165"/>
    <mergeCell ref="B164:B166"/>
    <mergeCell ref="A196:A198"/>
    <mergeCell ref="A227:A229"/>
    <mergeCell ref="B228:B230"/>
    <mergeCell ref="A261:A263"/>
    <mergeCell ref="Q164:Q166"/>
    <mergeCell ref="R164:R166"/>
    <mergeCell ref="A160:T160"/>
    <mergeCell ref="A161:T161"/>
    <mergeCell ref="B163:D163"/>
    <mergeCell ref="E163:N163"/>
    <mergeCell ref="O163:R163"/>
    <mergeCell ref="S163:S166"/>
    <mergeCell ref="T163:T166"/>
    <mergeCell ref="B197:B199"/>
    <mergeCell ref="C197:C199"/>
    <mergeCell ref="D197:D199"/>
    <mergeCell ref="E197:E199"/>
    <mergeCell ref="S227:S230"/>
    <mergeCell ref="T227:T230"/>
    <mergeCell ref="C228:C230"/>
    <mergeCell ref="D228:D230"/>
    <mergeCell ref="E228:E230"/>
    <mergeCell ref="F228:F230"/>
    <mergeCell ref="G228:G230"/>
    <mergeCell ref="H228:H230"/>
    <mergeCell ref="I228:I230"/>
    <mergeCell ref="B262:B264"/>
    <mergeCell ref="C262:C264"/>
    <mergeCell ref="D262:D264"/>
    <mergeCell ref="E262:E264"/>
    <mergeCell ref="F262:F264"/>
    <mergeCell ref="G262:G264"/>
    <mergeCell ref="H262:H264"/>
    <mergeCell ref="I262:I264"/>
    <mergeCell ref="J262:J264"/>
    <mergeCell ref="K262:K264"/>
    <mergeCell ref="L262:L264"/>
    <mergeCell ref="M262:M264"/>
    <mergeCell ref="N262:N264"/>
    <mergeCell ref="O262:O264"/>
    <mergeCell ref="P262:P264"/>
    <mergeCell ref="Q262:Q264"/>
    <mergeCell ref="A258:T258"/>
    <mergeCell ref="A259:T259"/>
    <mergeCell ref="B261:D261"/>
    <mergeCell ref="E261:N261"/>
    <mergeCell ref="O261:R261"/>
    <mergeCell ref="S261:S264"/>
    <mergeCell ref="T261:T264"/>
    <mergeCell ref="S293:S296"/>
    <mergeCell ref="T293:T296"/>
    <mergeCell ref="B294:B296"/>
    <mergeCell ref="C294:C296"/>
    <mergeCell ref="D294:D296"/>
    <mergeCell ref="E294:E296"/>
    <mergeCell ref="F294:F296"/>
    <mergeCell ref="G294:G296"/>
    <mergeCell ref="H294:H296"/>
    <mergeCell ref="P294:P296"/>
    <mergeCell ref="Q294:Q296"/>
    <mergeCell ref="R294:R296"/>
    <mergeCell ref="I294:I296"/>
    <mergeCell ref="J294:J296"/>
    <mergeCell ref="K294:K296"/>
    <mergeCell ref="L294:L296"/>
    <mergeCell ref="M294:M296"/>
    <mergeCell ref="N294:N296"/>
    <mergeCell ref="O294:O296"/>
    <mergeCell ref="R262:R264"/>
    <mergeCell ref="A290:T290"/>
    <mergeCell ref="A291:T291"/>
    <mergeCell ref="A293:A295"/>
    <mergeCell ref="B293:D293"/>
    <mergeCell ref="E293:N293"/>
    <mergeCell ref="O293:R29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1" max="21" width="7.38"/>
  </cols>
  <sheetData>
    <row r="1">
      <c r="A1" s="1" t="s">
        <v>238</v>
      </c>
      <c r="U1" s="2"/>
      <c r="V1" s="3"/>
      <c r="W1" s="3"/>
      <c r="X1" s="3"/>
      <c r="Y1" s="3"/>
      <c r="Z1" s="3"/>
    </row>
    <row r="2">
      <c r="A2" s="1" t="s">
        <v>1</v>
      </c>
      <c r="U2" s="2"/>
      <c r="V2" s="3"/>
      <c r="W2" s="3"/>
      <c r="X2" s="3"/>
      <c r="Y2" s="3"/>
      <c r="Z2" s="3"/>
    </row>
    <row r="3">
      <c r="A3" s="2"/>
      <c r="B3" s="4"/>
      <c r="C3" s="2"/>
      <c r="D3" s="2"/>
      <c r="E3" s="98"/>
      <c r="F3" s="98"/>
      <c r="G3" s="2"/>
      <c r="H3" s="2"/>
      <c r="I3" s="98"/>
      <c r="J3" s="2"/>
      <c r="K3" s="98"/>
      <c r="L3" s="98"/>
      <c r="M3" s="7"/>
      <c r="N3" s="2"/>
      <c r="O3" s="2"/>
      <c r="P3" s="2"/>
      <c r="Q3" s="2"/>
      <c r="R3" s="2"/>
      <c r="S3" s="2"/>
      <c r="T3" s="2"/>
      <c r="U3" s="2"/>
      <c r="V3" s="3"/>
      <c r="W3" s="3"/>
      <c r="X3" s="3"/>
      <c r="Y3" s="3"/>
      <c r="Z3" s="3"/>
    </row>
    <row r="4">
      <c r="A4" s="8" t="s">
        <v>2</v>
      </c>
      <c r="B4" s="9" t="s">
        <v>3</v>
      </c>
      <c r="C4" s="10"/>
      <c r="D4" s="11"/>
      <c r="E4" s="99" t="s">
        <v>4</v>
      </c>
      <c r="F4" s="10"/>
      <c r="G4" s="10"/>
      <c r="H4" s="10"/>
      <c r="I4" s="10"/>
      <c r="J4" s="10"/>
      <c r="K4" s="10"/>
      <c r="L4" s="10"/>
      <c r="M4" s="10"/>
      <c r="N4" s="11"/>
      <c r="O4" s="13" t="s">
        <v>5</v>
      </c>
      <c r="P4" s="10"/>
      <c r="Q4" s="10"/>
      <c r="R4" s="11"/>
      <c r="S4" s="14" t="s">
        <v>6</v>
      </c>
      <c r="T4" s="14" t="s">
        <v>7</v>
      </c>
      <c r="U4" s="6"/>
      <c r="V4" s="3"/>
      <c r="W4" s="3"/>
      <c r="X4" s="3"/>
      <c r="Y4" s="3"/>
      <c r="Z4" s="3"/>
    </row>
    <row r="5">
      <c r="A5" s="15"/>
      <c r="B5" s="16" t="s">
        <v>8</v>
      </c>
      <c r="C5" s="17" t="s">
        <v>9</v>
      </c>
      <c r="D5" s="14" t="s">
        <v>10</v>
      </c>
      <c r="E5" s="18" t="s">
        <v>11</v>
      </c>
      <c r="F5" s="18" t="s">
        <v>12</v>
      </c>
      <c r="G5" s="17" t="s">
        <v>13</v>
      </c>
      <c r="H5" s="17" t="s">
        <v>14</v>
      </c>
      <c r="I5" s="18" t="s">
        <v>15</v>
      </c>
      <c r="J5" s="17" t="s">
        <v>16</v>
      </c>
      <c r="K5" s="18" t="s">
        <v>17</v>
      </c>
      <c r="L5" s="18" t="s">
        <v>18</v>
      </c>
      <c r="M5" s="18" t="s">
        <v>19</v>
      </c>
      <c r="N5" s="14" t="s">
        <v>20</v>
      </c>
      <c r="O5" s="17" t="s">
        <v>21</v>
      </c>
      <c r="P5" s="17" t="s">
        <v>22</v>
      </c>
      <c r="Q5" s="17" t="s">
        <v>23</v>
      </c>
      <c r="R5" s="14" t="s">
        <v>24</v>
      </c>
      <c r="S5" s="19"/>
      <c r="T5" s="19"/>
      <c r="U5" s="6"/>
      <c r="V5" s="3"/>
      <c r="W5" s="3"/>
      <c r="X5" s="3"/>
      <c r="Y5" s="3"/>
      <c r="Z5" s="3"/>
    </row>
    <row r="6">
      <c r="A6" s="20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6"/>
      <c r="V6" s="3"/>
      <c r="W6" s="3"/>
      <c r="X6" s="3"/>
      <c r="Y6" s="3"/>
      <c r="Z6" s="3"/>
    </row>
    <row r="7">
      <c r="A7" s="100">
        <v>11.0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6"/>
      <c r="V7" s="3"/>
      <c r="W7" s="3"/>
      <c r="X7" s="3"/>
      <c r="Y7" s="3"/>
      <c r="Z7" s="3"/>
    </row>
    <row r="8">
      <c r="A8" s="101" t="s">
        <v>239</v>
      </c>
      <c r="B8" s="24">
        <f t="shared" ref="B8:B21" si="1">300-U8</f>
        <v>300</v>
      </c>
      <c r="C8" s="25">
        <v>30.0</v>
      </c>
      <c r="D8" s="26">
        <f t="shared" ref="D8:D21" si="2">B8</f>
        <v>300</v>
      </c>
      <c r="E8" s="30"/>
      <c r="F8" s="30"/>
      <c r="G8" s="29"/>
      <c r="H8" s="29"/>
      <c r="I8" s="73">
        <v>0.5</v>
      </c>
      <c r="J8" s="29"/>
      <c r="K8" s="30"/>
      <c r="L8" s="30"/>
      <c r="M8" s="73">
        <v>1.0</v>
      </c>
      <c r="N8" s="26">
        <f t="shared" ref="N8:N21" si="3">SUM(E8:M8)</f>
        <v>1.5</v>
      </c>
      <c r="O8" s="29"/>
      <c r="P8" s="29"/>
      <c r="Q8" s="66">
        <v>2.0</v>
      </c>
      <c r="R8" s="31">
        <f t="shared" ref="R8:R21" si="4">SUM(O8:Q8)</f>
        <v>2</v>
      </c>
      <c r="S8" s="32">
        <f t="shared" ref="S8:S21" si="5">D8-N8+R8</f>
        <v>300.5</v>
      </c>
      <c r="T8" s="33">
        <f t="shared" ref="T8:T21" si="6">RANK(S8,$S$8:$S$21,0)</f>
        <v>1</v>
      </c>
      <c r="U8" s="34">
        <v>0.0</v>
      </c>
      <c r="V8" s="3"/>
      <c r="W8" s="3"/>
      <c r="X8" s="3"/>
      <c r="Y8" s="3"/>
      <c r="Z8" s="3"/>
    </row>
    <row r="9">
      <c r="A9" s="102" t="s">
        <v>240</v>
      </c>
      <c r="B9" s="24">
        <f t="shared" si="1"/>
        <v>300</v>
      </c>
      <c r="C9" s="36">
        <v>30.0</v>
      </c>
      <c r="D9" s="37">
        <f t="shared" si="2"/>
        <v>300</v>
      </c>
      <c r="E9" s="41">
        <v>1.5</v>
      </c>
      <c r="F9" s="41">
        <v>0.5</v>
      </c>
      <c r="G9" s="40"/>
      <c r="H9" s="40"/>
      <c r="I9" s="44"/>
      <c r="J9" s="40"/>
      <c r="K9" s="44"/>
      <c r="L9" s="44"/>
      <c r="M9" s="44"/>
      <c r="N9" s="37">
        <f t="shared" si="3"/>
        <v>2</v>
      </c>
      <c r="O9" s="40"/>
      <c r="P9" s="40"/>
      <c r="Q9" s="46">
        <v>2.0</v>
      </c>
      <c r="R9" s="42">
        <f t="shared" si="4"/>
        <v>2</v>
      </c>
      <c r="S9" s="43">
        <f t="shared" si="5"/>
        <v>300</v>
      </c>
      <c r="T9" s="33">
        <f t="shared" si="6"/>
        <v>2</v>
      </c>
      <c r="U9" s="34">
        <v>0.0</v>
      </c>
      <c r="V9" s="3"/>
      <c r="W9" s="3"/>
      <c r="X9" s="3"/>
      <c r="Y9" s="3"/>
      <c r="Z9" s="3"/>
    </row>
    <row r="10">
      <c r="A10" s="102" t="s">
        <v>241</v>
      </c>
      <c r="B10" s="24">
        <f t="shared" si="1"/>
        <v>300</v>
      </c>
      <c r="C10" s="36">
        <v>30.0</v>
      </c>
      <c r="D10" s="37">
        <f t="shared" si="2"/>
        <v>300</v>
      </c>
      <c r="E10" s="44"/>
      <c r="F10" s="41">
        <v>1.0</v>
      </c>
      <c r="G10" s="40"/>
      <c r="H10" s="40"/>
      <c r="I10" s="44"/>
      <c r="J10" s="40"/>
      <c r="K10" s="44"/>
      <c r="L10" s="44"/>
      <c r="M10" s="44"/>
      <c r="N10" s="37">
        <f t="shared" si="3"/>
        <v>1</v>
      </c>
      <c r="O10" s="40"/>
      <c r="P10" s="40"/>
      <c r="Q10" s="40"/>
      <c r="R10" s="42">
        <f t="shared" si="4"/>
        <v>0</v>
      </c>
      <c r="S10" s="45">
        <f t="shared" si="5"/>
        <v>299</v>
      </c>
      <c r="T10" s="33">
        <f t="shared" si="6"/>
        <v>10</v>
      </c>
      <c r="U10" s="34">
        <v>0.0</v>
      </c>
      <c r="V10" s="3"/>
      <c r="W10" s="3"/>
      <c r="X10" s="3"/>
      <c r="Y10" s="3"/>
      <c r="Z10" s="3"/>
    </row>
    <row r="11">
      <c r="A11" s="102" t="s">
        <v>242</v>
      </c>
      <c r="B11" s="24">
        <f t="shared" si="1"/>
        <v>300</v>
      </c>
      <c r="C11" s="36">
        <v>30.0</v>
      </c>
      <c r="D11" s="37">
        <f t="shared" si="2"/>
        <v>300</v>
      </c>
      <c r="E11" s="41"/>
      <c r="F11" s="44"/>
      <c r="G11" s="40"/>
      <c r="H11" s="40"/>
      <c r="I11" s="44"/>
      <c r="J11" s="40"/>
      <c r="K11" s="44"/>
      <c r="L11" s="44"/>
      <c r="M11" s="44"/>
      <c r="N11" s="37">
        <f t="shared" si="3"/>
        <v>0</v>
      </c>
      <c r="O11" s="40"/>
      <c r="P11" s="40"/>
      <c r="Q11" s="40"/>
      <c r="R11" s="42">
        <f t="shared" si="4"/>
        <v>0</v>
      </c>
      <c r="S11" s="45">
        <f t="shared" si="5"/>
        <v>300</v>
      </c>
      <c r="T11" s="33">
        <f t="shared" si="6"/>
        <v>2</v>
      </c>
      <c r="U11" s="34">
        <v>0.0</v>
      </c>
      <c r="V11" s="3"/>
      <c r="W11" s="3"/>
      <c r="X11" s="3"/>
      <c r="Y11" s="3"/>
      <c r="Z11" s="3"/>
    </row>
    <row r="12">
      <c r="A12" s="102" t="s">
        <v>243</v>
      </c>
      <c r="B12" s="24">
        <f t="shared" si="1"/>
        <v>300</v>
      </c>
      <c r="C12" s="36">
        <v>30.0</v>
      </c>
      <c r="D12" s="37">
        <f t="shared" si="2"/>
        <v>300</v>
      </c>
      <c r="E12" s="44"/>
      <c r="F12" s="44"/>
      <c r="G12" s="40"/>
      <c r="H12" s="40"/>
      <c r="I12" s="41">
        <v>0.5</v>
      </c>
      <c r="J12" s="40"/>
      <c r="K12" s="44"/>
      <c r="L12" s="44"/>
      <c r="M12" s="44"/>
      <c r="N12" s="37">
        <f t="shared" si="3"/>
        <v>0.5</v>
      </c>
      <c r="O12" s="40"/>
      <c r="P12" s="40"/>
      <c r="Q12" s="46">
        <v>0.5</v>
      </c>
      <c r="R12" s="42">
        <f t="shared" si="4"/>
        <v>0.5</v>
      </c>
      <c r="S12" s="45">
        <f t="shared" si="5"/>
        <v>300</v>
      </c>
      <c r="T12" s="33">
        <f t="shared" si="6"/>
        <v>2</v>
      </c>
      <c r="U12" s="34">
        <v>0.0</v>
      </c>
      <c r="V12" s="3"/>
      <c r="W12" s="3"/>
      <c r="X12" s="3"/>
      <c r="Y12" s="3"/>
      <c r="Z12" s="3"/>
    </row>
    <row r="13">
      <c r="A13" s="102" t="s">
        <v>244</v>
      </c>
      <c r="B13" s="24">
        <f t="shared" si="1"/>
        <v>300</v>
      </c>
      <c r="C13" s="36">
        <v>30.0</v>
      </c>
      <c r="D13" s="37">
        <f t="shared" si="2"/>
        <v>300</v>
      </c>
      <c r="E13" s="41">
        <v>3.0</v>
      </c>
      <c r="F13" s="41">
        <v>0.5</v>
      </c>
      <c r="G13" s="40"/>
      <c r="H13" s="40"/>
      <c r="I13" s="41">
        <v>1.5</v>
      </c>
      <c r="J13" s="40"/>
      <c r="K13" s="44"/>
      <c r="L13" s="44"/>
      <c r="M13" s="44"/>
      <c r="N13" s="37">
        <f t="shared" si="3"/>
        <v>5</v>
      </c>
      <c r="O13" s="40"/>
      <c r="P13" s="40"/>
      <c r="Q13" s="40"/>
      <c r="R13" s="42">
        <f t="shared" si="4"/>
        <v>0</v>
      </c>
      <c r="S13" s="45">
        <f t="shared" si="5"/>
        <v>295</v>
      </c>
      <c r="T13" s="33">
        <f t="shared" si="6"/>
        <v>14</v>
      </c>
      <c r="U13" s="34">
        <v>0.0</v>
      </c>
      <c r="V13" s="3"/>
      <c r="W13" s="3"/>
      <c r="X13" s="3"/>
      <c r="Y13" s="3"/>
      <c r="Z13" s="3"/>
    </row>
    <row r="14">
      <c r="A14" s="102" t="s">
        <v>245</v>
      </c>
      <c r="B14" s="24">
        <f t="shared" si="1"/>
        <v>300</v>
      </c>
      <c r="C14" s="36">
        <v>30.0</v>
      </c>
      <c r="D14" s="37">
        <f t="shared" si="2"/>
        <v>300</v>
      </c>
      <c r="E14" s="41"/>
      <c r="F14" s="44"/>
      <c r="G14" s="40"/>
      <c r="H14" s="40"/>
      <c r="I14" s="44"/>
      <c r="J14" s="38"/>
      <c r="K14" s="44"/>
      <c r="L14" s="44"/>
      <c r="M14" s="44"/>
      <c r="N14" s="37">
        <f t="shared" si="3"/>
        <v>0</v>
      </c>
      <c r="O14" s="40"/>
      <c r="P14" s="40"/>
      <c r="Q14" s="40"/>
      <c r="R14" s="42">
        <f t="shared" si="4"/>
        <v>0</v>
      </c>
      <c r="S14" s="45">
        <f t="shared" si="5"/>
        <v>300</v>
      </c>
      <c r="T14" s="33">
        <f t="shared" si="6"/>
        <v>2</v>
      </c>
      <c r="U14" s="34">
        <v>0.0</v>
      </c>
      <c r="V14" s="3"/>
      <c r="W14" s="3"/>
      <c r="X14" s="3"/>
      <c r="Y14" s="3"/>
      <c r="Z14" s="3"/>
    </row>
    <row r="15">
      <c r="A15" s="102" t="s">
        <v>246</v>
      </c>
      <c r="B15" s="24">
        <f t="shared" si="1"/>
        <v>300</v>
      </c>
      <c r="C15" s="36">
        <v>30.0</v>
      </c>
      <c r="D15" s="37">
        <f t="shared" si="2"/>
        <v>300</v>
      </c>
      <c r="E15" s="41">
        <v>1.5</v>
      </c>
      <c r="F15" s="44"/>
      <c r="G15" s="40"/>
      <c r="H15" s="40"/>
      <c r="I15" s="44"/>
      <c r="J15" s="40"/>
      <c r="K15" s="44"/>
      <c r="L15" s="44"/>
      <c r="M15" s="44"/>
      <c r="N15" s="37">
        <f t="shared" si="3"/>
        <v>1.5</v>
      </c>
      <c r="O15" s="40"/>
      <c r="P15" s="40"/>
      <c r="Q15" s="40"/>
      <c r="R15" s="42">
        <f t="shared" si="4"/>
        <v>0</v>
      </c>
      <c r="S15" s="47">
        <f t="shared" si="5"/>
        <v>298.5</v>
      </c>
      <c r="T15" s="33">
        <f t="shared" si="6"/>
        <v>11</v>
      </c>
      <c r="U15" s="34">
        <v>0.0</v>
      </c>
      <c r="V15" s="3"/>
      <c r="W15" s="3"/>
      <c r="X15" s="3"/>
      <c r="Y15" s="3"/>
      <c r="Z15" s="3"/>
    </row>
    <row r="16">
      <c r="A16" s="102" t="s">
        <v>247</v>
      </c>
      <c r="B16" s="24">
        <f t="shared" si="1"/>
        <v>300</v>
      </c>
      <c r="C16" s="36">
        <v>30.0</v>
      </c>
      <c r="D16" s="37">
        <f t="shared" si="2"/>
        <v>300</v>
      </c>
      <c r="E16" s="44"/>
      <c r="F16" s="41">
        <v>0.5</v>
      </c>
      <c r="G16" s="40"/>
      <c r="H16" s="40"/>
      <c r="I16" s="41">
        <v>0.5</v>
      </c>
      <c r="J16" s="38"/>
      <c r="K16" s="44"/>
      <c r="L16" s="44"/>
      <c r="M16" s="44"/>
      <c r="N16" s="37">
        <f t="shared" si="3"/>
        <v>1</v>
      </c>
      <c r="O16" s="40"/>
      <c r="P16" s="40"/>
      <c r="Q16" s="46">
        <v>0.5</v>
      </c>
      <c r="R16" s="42">
        <f t="shared" si="4"/>
        <v>0.5</v>
      </c>
      <c r="S16" s="47">
        <f t="shared" si="5"/>
        <v>299.5</v>
      </c>
      <c r="T16" s="33">
        <f t="shared" si="6"/>
        <v>7</v>
      </c>
      <c r="U16" s="34">
        <v>0.0</v>
      </c>
      <c r="V16" s="3"/>
      <c r="W16" s="3"/>
      <c r="X16" s="3"/>
      <c r="Y16" s="3"/>
      <c r="Z16" s="3"/>
    </row>
    <row r="17">
      <c r="A17" s="102" t="s">
        <v>248</v>
      </c>
      <c r="B17" s="24">
        <f t="shared" si="1"/>
        <v>300</v>
      </c>
      <c r="C17" s="36">
        <v>30.0</v>
      </c>
      <c r="D17" s="37">
        <f t="shared" si="2"/>
        <v>300</v>
      </c>
      <c r="E17" s="44"/>
      <c r="F17" s="41">
        <v>0.5</v>
      </c>
      <c r="G17" s="40"/>
      <c r="H17" s="40"/>
      <c r="I17" s="44"/>
      <c r="J17" s="40"/>
      <c r="K17" s="44"/>
      <c r="L17" s="44"/>
      <c r="M17" s="44"/>
      <c r="N17" s="37">
        <f t="shared" si="3"/>
        <v>0.5</v>
      </c>
      <c r="O17" s="40"/>
      <c r="P17" s="40"/>
      <c r="Q17" s="40"/>
      <c r="R17" s="42">
        <f t="shared" si="4"/>
        <v>0</v>
      </c>
      <c r="S17" s="43">
        <f t="shared" si="5"/>
        <v>299.5</v>
      </c>
      <c r="T17" s="33">
        <f t="shared" si="6"/>
        <v>7</v>
      </c>
      <c r="U17" s="34">
        <v>0.0</v>
      </c>
      <c r="V17" s="3"/>
      <c r="W17" s="3"/>
      <c r="X17" s="3"/>
      <c r="Y17" s="3"/>
      <c r="Z17" s="3"/>
    </row>
    <row r="18">
      <c r="A18" s="102" t="s">
        <v>249</v>
      </c>
      <c r="B18" s="24">
        <f t="shared" si="1"/>
        <v>300</v>
      </c>
      <c r="C18" s="36">
        <v>30.0</v>
      </c>
      <c r="D18" s="37">
        <f t="shared" si="2"/>
        <v>300</v>
      </c>
      <c r="E18" s="44"/>
      <c r="F18" s="44"/>
      <c r="G18" s="40"/>
      <c r="H18" s="40"/>
      <c r="I18" s="44"/>
      <c r="J18" s="40"/>
      <c r="K18" s="44"/>
      <c r="L18" s="44"/>
      <c r="M18" s="41">
        <v>0.5</v>
      </c>
      <c r="N18" s="37">
        <f t="shared" si="3"/>
        <v>0.5</v>
      </c>
      <c r="O18" s="40"/>
      <c r="P18" s="40"/>
      <c r="Q18" s="46">
        <v>0.5</v>
      </c>
      <c r="R18" s="42">
        <f t="shared" si="4"/>
        <v>0.5</v>
      </c>
      <c r="S18" s="45">
        <f t="shared" si="5"/>
        <v>300</v>
      </c>
      <c r="T18" s="33">
        <f t="shared" si="6"/>
        <v>2</v>
      </c>
      <c r="U18" s="34">
        <v>0.0</v>
      </c>
      <c r="V18" s="3"/>
      <c r="W18" s="3"/>
      <c r="X18" s="3"/>
      <c r="Y18" s="3"/>
      <c r="Z18" s="3"/>
    </row>
    <row r="19">
      <c r="A19" s="102" t="s">
        <v>250</v>
      </c>
      <c r="B19" s="24">
        <f t="shared" si="1"/>
        <v>300</v>
      </c>
      <c r="C19" s="36">
        <v>30.0</v>
      </c>
      <c r="D19" s="37">
        <f t="shared" si="2"/>
        <v>300</v>
      </c>
      <c r="E19" s="41">
        <v>3.0</v>
      </c>
      <c r="F19" s="44"/>
      <c r="G19" s="40"/>
      <c r="H19" s="40"/>
      <c r="I19" s="44"/>
      <c r="J19" s="40"/>
      <c r="K19" s="44"/>
      <c r="L19" s="44"/>
      <c r="M19" s="41"/>
      <c r="N19" s="37">
        <f t="shared" si="3"/>
        <v>3</v>
      </c>
      <c r="O19" s="40"/>
      <c r="P19" s="40"/>
      <c r="Q19" s="46">
        <v>0.5</v>
      </c>
      <c r="R19" s="42">
        <f t="shared" si="4"/>
        <v>0.5</v>
      </c>
      <c r="S19" s="45">
        <f t="shared" si="5"/>
        <v>297.5</v>
      </c>
      <c r="T19" s="33">
        <f t="shared" si="6"/>
        <v>12</v>
      </c>
      <c r="U19" s="34">
        <v>0.0</v>
      </c>
      <c r="V19" s="3"/>
      <c r="W19" s="3"/>
      <c r="X19" s="3"/>
      <c r="Y19" s="3"/>
      <c r="Z19" s="3"/>
    </row>
    <row r="20">
      <c r="A20" s="102" t="s">
        <v>251</v>
      </c>
      <c r="B20" s="24">
        <f t="shared" si="1"/>
        <v>300</v>
      </c>
      <c r="C20" s="36">
        <v>30.0</v>
      </c>
      <c r="D20" s="37">
        <f t="shared" si="2"/>
        <v>300</v>
      </c>
      <c r="E20" s="44"/>
      <c r="F20" s="44"/>
      <c r="G20" s="40"/>
      <c r="H20" s="40"/>
      <c r="I20" s="41">
        <v>0.5</v>
      </c>
      <c r="J20" s="40"/>
      <c r="K20" s="44"/>
      <c r="L20" s="44"/>
      <c r="M20" s="44"/>
      <c r="N20" s="37">
        <f t="shared" si="3"/>
        <v>0.5</v>
      </c>
      <c r="O20" s="40"/>
      <c r="P20" s="40"/>
      <c r="Q20" s="40"/>
      <c r="R20" s="42">
        <f t="shared" si="4"/>
        <v>0</v>
      </c>
      <c r="S20" s="47">
        <f t="shared" si="5"/>
        <v>299.5</v>
      </c>
      <c r="T20" s="33">
        <f t="shared" si="6"/>
        <v>7</v>
      </c>
      <c r="U20" s="34">
        <v>0.0</v>
      </c>
      <c r="V20" s="3"/>
      <c r="W20" s="3"/>
      <c r="X20" s="3"/>
      <c r="Y20" s="3"/>
      <c r="Z20" s="3"/>
    </row>
    <row r="21">
      <c r="A21" s="103" t="s">
        <v>252</v>
      </c>
      <c r="B21" s="49">
        <f t="shared" si="1"/>
        <v>300</v>
      </c>
      <c r="C21" s="50">
        <v>30.0</v>
      </c>
      <c r="D21" s="51">
        <f t="shared" si="2"/>
        <v>300</v>
      </c>
      <c r="E21" s="54"/>
      <c r="F21" s="74">
        <v>2.0</v>
      </c>
      <c r="G21" s="53"/>
      <c r="H21" s="53"/>
      <c r="I21" s="54"/>
      <c r="J21" s="52"/>
      <c r="K21" s="54"/>
      <c r="L21" s="54"/>
      <c r="M21" s="74">
        <v>1.0</v>
      </c>
      <c r="N21" s="51">
        <f t="shared" si="3"/>
        <v>3</v>
      </c>
      <c r="O21" s="53"/>
      <c r="P21" s="53"/>
      <c r="Q21" s="55">
        <v>0.5</v>
      </c>
      <c r="R21" s="56">
        <f t="shared" si="4"/>
        <v>0.5</v>
      </c>
      <c r="S21" s="57">
        <f t="shared" si="5"/>
        <v>297.5</v>
      </c>
      <c r="T21" s="58">
        <f t="shared" si="6"/>
        <v>12</v>
      </c>
      <c r="U21" s="34">
        <v>0.0</v>
      </c>
      <c r="V21" s="3"/>
      <c r="W21" s="3"/>
      <c r="X21" s="3"/>
      <c r="Y21" s="3"/>
      <c r="Z21" s="3"/>
    </row>
    <row r="22">
      <c r="A22" s="3"/>
      <c r="B22" s="3"/>
      <c r="C22" s="3"/>
      <c r="D22" s="3"/>
      <c r="E22" s="104"/>
      <c r="F22" s="104"/>
      <c r="G22" s="3"/>
      <c r="H22" s="3"/>
      <c r="I22" s="104"/>
      <c r="J22" s="3"/>
      <c r="K22" s="104"/>
      <c r="L22" s="104"/>
      <c r="M22" s="61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3"/>
      <c r="B23" s="63" t="s">
        <v>253</v>
      </c>
      <c r="C23" s="3"/>
      <c r="D23" s="3"/>
      <c r="E23" s="104"/>
      <c r="F23" s="104"/>
      <c r="G23" s="3"/>
      <c r="H23" s="3"/>
      <c r="I23" s="104"/>
      <c r="J23" s="3"/>
      <c r="K23" s="104"/>
      <c r="L23" s="104"/>
      <c r="M23" s="61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65" t="s">
        <v>254</v>
      </c>
      <c r="C24" s="3"/>
      <c r="D24" s="3"/>
      <c r="E24" s="104"/>
      <c r="F24" s="104"/>
      <c r="G24" s="3"/>
      <c r="H24" s="3"/>
      <c r="I24" s="104"/>
      <c r="J24" s="3"/>
      <c r="K24" s="105" t="s">
        <v>255</v>
      </c>
      <c r="L24" s="106"/>
      <c r="M24" s="6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65" t="s">
        <v>256</v>
      </c>
      <c r="C25" s="3"/>
      <c r="D25" s="3"/>
      <c r="E25" s="104"/>
      <c r="F25" s="104"/>
      <c r="G25" s="3"/>
      <c r="H25" s="3"/>
      <c r="I25" s="104"/>
      <c r="J25" s="3"/>
      <c r="K25" s="104"/>
      <c r="L25" s="106"/>
      <c r="M25" s="6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65" t="s">
        <v>257</v>
      </c>
      <c r="C26" s="3"/>
      <c r="D26" s="3"/>
      <c r="E26" s="104"/>
      <c r="F26" s="104"/>
      <c r="G26" s="3"/>
      <c r="H26" s="3"/>
      <c r="I26" s="104"/>
      <c r="J26" s="3"/>
      <c r="K26" s="105" t="s">
        <v>39</v>
      </c>
      <c r="L26" s="106"/>
      <c r="M26" s="61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65"/>
      <c r="C27" s="3"/>
      <c r="D27" s="3"/>
      <c r="E27" s="104"/>
      <c r="F27" s="104"/>
      <c r="G27" s="3"/>
      <c r="H27" s="3"/>
      <c r="I27" s="104"/>
      <c r="J27" s="3"/>
      <c r="K27" s="107" t="s">
        <v>258</v>
      </c>
      <c r="L27" s="104"/>
      <c r="M27" s="61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65" t="s">
        <v>259</v>
      </c>
      <c r="C28" s="3"/>
      <c r="D28" s="3"/>
      <c r="E28" s="104"/>
      <c r="F28" s="104"/>
      <c r="G28" s="3"/>
      <c r="H28" s="3"/>
      <c r="I28" s="104"/>
      <c r="J28" s="3"/>
      <c r="K28" s="107" t="s">
        <v>260</v>
      </c>
      <c r="L28" s="104"/>
      <c r="M28" s="61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65" t="s">
        <v>261</v>
      </c>
      <c r="C29" s="3"/>
      <c r="D29" s="3"/>
      <c r="E29" s="104"/>
      <c r="F29" s="104"/>
      <c r="G29" s="3"/>
      <c r="H29" s="3"/>
      <c r="I29" s="104"/>
      <c r="J29" s="3"/>
      <c r="K29" s="104"/>
      <c r="L29" s="104"/>
      <c r="M29" s="61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65"/>
      <c r="C30" s="3"/>
      <c r="D30" s="3"/>
      <c r="E30" s="104"/>
      <c r="F30" s="104"/>
      <c r="G30" s="3"/>
      <c r="H30" s="3"/>
      <c r="I30" s="104"/>
      <c r="J30" s="3"/>
      <c r="K30" s="104"/>
      <c r="L30" s="104"/>
      <c r="M30" s="61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65" t="s">
        <v>262</v>
      </c>
      <c r="C31" s="3"/>
      <c r="D31" s="3"/>
      <c r="E31" s="104"/>
      <c r="F31" s="104"/>
      <c r="G31" s="3"/>
      <c r="H31" s="3"/>
      <c r="I31" s="104"/>
      <c r="J31" s="3"/>
      <c r="K31" s="104"/>
      <c r="L31" s="104"/>
      <c r="M31" s="6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65" t="s">
        <v>263</v>
      </c>
      <c r="C32" s="3"/>
      <c r="D32" s="3"/>
      <c r="E32" s="104"/>
      <c r="F32" s="104"/>
      <c r="G32" s="3"/>
      <c r="H32" s="3"/>
      <c r="I32" s="104"/>
      <c r="J32" s="3"/>
      <c r="K32" s="104"/>
      <c r="L32" s="104"/>
      <c r="M32" s="61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65" t="s">
        <v>264</v>
      </c>
      <c r="C33" s="3"/>
      <c r="D33" s="3"/>
      <c r="E33" s="104"/>
      <c r="F33" s="104"/>
      <c r="G33" s="3"/>
      <c r="H33" s="3"/>
      <c r="I33" s="104"/>
      <c r="J33" s="3"/>
      <c r="K33" s="104"/>
      <c r="L33" s="104"/>
      <c r="M33" s="61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65" t="s">
        <v>265</v>
      </c>
      <c r="C34" s="3"/>
      <c r="D34" s="3"/>
      <c r="E34" s="104"/>
      <c r="F34" s="104"/>
      <c r="G34" s="3"/>
      <c r="H34" s="3"/>
      <c r="I34" s="104"/>
      <c r="J34" s="3"/>
      <c r="K34" s="104"/>
      <c r="L34" s="104"/>
      <c r="M34" s="61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65" t="s">
        <v>266</v>
      </c>
      <c r="C35" s="3"/>
      <c r="D35" s="3"/>
      <c r="E35" s="104"/>
      <c r="F35" s="104"/>
      <c r="G35" s="3"/>
      <c r="H35" s="3"/>
      <c r="I35" s="104"/>
      <c r="J35" s="3"/>
      <c r="K35" s="104"/>
      <c r="L35" s="104"/>
      <c r="M35" s="61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65" t="s">
        <v>267</v>
      </c>
      <c r="C36" s="3"/>
      <c r="D36" s="3"/>
      <c r="E36" s="104"/>
      <c r="F36" s="104"/>
      <c r="G36" s="3"/>
      <c r="H36" s="3"/>
      <c r="I36" s="104"/>
      <c r="J36" s="3"/>
      <c r="K36" s="104"/>
      <c r="L36" s="104"/>
      <c r="M36" s="61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65" t="s">
        <v>268</v>
      </c>
      <c r="C37" s="3"/>
      <c r="D37" s="3"/>
      <c r="E37" s="104"/>
      <c r="F37" s="104"/>
      <c r="G37" s="3"/>
      <c r="H37" s="3"/>
      <c r="I37" s="104"/>
      <c r="J37" s="3"/>
      <c r="K37" s="104"/>
      <c r="L37" s="104"/>
      <c r="M37" s="61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104"/>
      <c r="F38" s="104"/>
      <c r="G38" s="3"/>
      <c r="H38" s="3"/>
      <c r="I38" s="104"/>
      <c r="J38" s="3"/>
      <c r="K38" s="104"/>
      <c r="L38" s="104"/>
      <c r="M38" s="61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104"/>
      <c r="F39" s="104"/>
      <c r="G39" s="3"/>
      <c r="H39" s="3"/>
      <c r="I39" s="104"/>
      <c r="J39" s="3"/>
      <c r="K39" s="104"/>
      <c r="L39" s="104"/>
      <c r="M39" s="61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104"/>
      <c r="F40" s="104"/>
      <c r="G40" s="3"/>
      <c r="H40" s="3"/>
      <c r="I40" s="104"/>
      <c r="J40" s="3"/>
      <c r="K40" s="104"/>
      <c r="L40" s="104"/>
      <c r="M40" s="61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 t="s">
        <v>269</v>
      </c>
      <c r="U41" s="2"/>
      <c r="V41" s="3"/>
      <c r="W41" s="3"/>
      <c r="X41" s="3"/>
      <c r="Y41" s="3"/>
      <c r="Z41" s="3"/>
    </row>
    <row r="42">
      <c r="A42" s="1" t="s">
        <v>50</v>
      </c>
      <c r="U42" s="2"/>
      <c r="V42" s="3"/>
      <c r="W42" s="3"/>
      <c r="X42" s="3"/>
      <c r="Y42" s="3"/>
      <c r="Z42" s="3"/>
    </row>
    <row r="43">
      <c r="A43" s="2"/>
      <c r="B43" s="4"/>
      <c r="C43" s="2"/>
      <c r="D43" s="2"/>
      <c r="E43" s="98"/>
      <c r="F43" s="98"/>
      <c r="G43" s="2"/>
      <c r="H43" s="2"/>
      <c r="I43" s="98"/>
      <c r="J43" s="2"/>
      <c r="K43" s="98"/>
      <c r="L43" s="98"/>
      <c r="M43" s="7"/>
      <c r="N43" s="2"/>
      <c r="O43" s="2"/>
      <c r="P43" s="2"/>
      <c r="Q43" s="2"/>
      <c r="R43" s="2"/>
      <c r="S43" s="2"/>
      <c r="T43" s="2"/>
      <c r="U43" s="2"/>
      <c r="V43" s="3"/>
      <c r="W43" s="3"/>
      <c r="X43" s="3"/>
      <c r="Y43" s="3"/>
      <c r="Z43" s="3"/>
    </row>
    <row r="44">
      <c r="A44" s="8" t="s">
        <v>2</v>
      </c>
      <c r="B44" s="9" t="s">
        <v>3</v>
      </c>
      <c r="C44" s="10"/>
      <c r="D44" s="11"/>
      <c r="E44" s="99" t="s">
        <v>4</v>
      </c>
      <c r="F44" s="10"/>
      <c r="G44" s="10"/>
      <c r="H44" s="10"/>
      <c r="I44" s="10"/>
      <c r="J44" s="10"/>
      <c r="K44" s="10"/>
      <c r="L44" s="10"/>
      <c r="M44" s="10"/>
      <c r="N44" s="11"/>
      <c r="O44" s="13" t="s">
        <v>5</v>
      </c>
      <c r="P44" s="10"/>
      <c r="Q44" s="10"/>
      <c r="R44" s="11"/>
      <c r="S44" s="14" t="s">
        <v>6</v>
      </c>
      <c r="T44" s="14" t="s">
        <v>7</v>
      </c>
      <c r="U44" s="6"/>
      <c r="V44" s="3"/>
      <c r="W44" s="3"/>
      <c r="X44" s="3"/>
      <c r="Y44" s="3"/>
      <c r="Z44" s="3"/>
    </row>
    <row r="45">
      <c r="A45" s="15"/>
      <c r="B45" s="16" t="s">
        <v>8</v>
      </c>
      <c r="C45" s="17" t="s">
        <v>9</v>
      </c>
      <c r="D45" s="14" t="s">
        <v>10</v>
      </c>
      <c r="E45" s="18" t="s">
        <v>11</v>
      </c>
      <c r="F45" s="18" t="s">
        <v>12</v>
      </c>
      <c r="G45" s="17" t="s">
        <v>13</v>
      </c>
      <c r="H45" s="17" t="s">
        <v>14</v>
      </c>
      <c r="I45" s="18" t="s">
        <v>15</v>
      </c>
      <c r="J45" s="17" t="s">
        <v>16</v>
      </c>
      <c r="K45" s="18" t="s">
        <v>17</v>
      </c>
      <c r="L45" s="18" t="s">
        <v>18</v>
      </c>
      <c r="M45" s="18" t="s">
        <v>19</v>
      </c>
      <c r="N45" s="14" t="s">
        <v>20</v>
      </c>
      <c r="O45" s="17" t="s">
        <v>21</v>
      </c>
      <c r="P45" s="17" t="s">
        <v>22</v>
      </c>
      <c r="Q45" s="17" t="s">
        <v>23</v>
      </c>
      <c r="R45" s="14" t="s">
        <v>24</v>
      </c>
      <c r="S45" s="19"/>
      <c r="T45" s="19"/>
      <c r="U45" s="6"/>
      <c r="V45" s="3"/>
      <c r="W45" s="3"/>
      <c r="X45" s="3"/>
      <c r="Y45" s="3"/>
      <c r="Z45" s="3"/>
    </row>
    <row r="46">
      <c r="A46" s="20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6"/>
      <c r="V46" s="3"/>
      <c r="W46" s="3"/>
      <c r="X46" s="3"/>
      <c r="Y46" s="3"/>
      <c r="Z46" s="3"/>
    </row>
    <row r="47">
      <c r="A47" s="100">
        <v>11.0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6"/>
      <c r="V47" s="3"/>
      <c r="W47" s="3"/>
      <c r="X47" s="3"/>
      <c r="Y47" s="3"/>
      <c r="Z47" s="3"/>
    </row>
    <row r="48">
      <c r="A48" s="101" t="s">
        <v>239</v>
      </c>
      <c r="B48" s="24">
        <f t="shared" ref="B48:B61" si="7">300-U48</f>
        <v>299</v>
      </c>
      <c r="C48" s="25">
        <v>30.0</v>
      </c>
      <c r="D48" s="26">
        <f t="shared" ref="D48:D61" si="8">B48</f>
        <v>299</v>
      </c>
      <c r="E48" s="30"/>
      <c r="F48" s="30"/>
      <c r="G48" s="29"/>
      <c r="H48" s="29"/>
      <c r="I48" s="73"/>
      <c r="J48" s="29"/>
      <c r="K48" s="30"/>
      <c r="L48" s="30"/>
      <c r="M48" s="73"/>
      <c r="N48" s="26">
        <f t="shared" ref="N48:N61" si="9">SUM(E48:M48)</f>
        <v>0</v>
      </c>
      <c r="O48" s="29"/>
      <c r="P48" s="29"/>
      <c r="Q48" s="83">
        <v>1.5</v>
      </c>
      <c r="R48" s="31">
        <f t="shared" ref="R48:R61" si="10">SUM(O48:Q48)</f>
        <v>1.5</v>
      </c>
      <c r="S48" s="32">
        <f t="shared" ref="S48:S61" si="11">D48-N48+R48</f>
        <v>300.5</v>
      </c>
      <c r="T48" s="33">
        <f t="shared" ref="T48:T61" si="12">RANK(S48,$S$48:$S$61,0)</f>
        <v>11</v>
      </c>
      <c r="U48" s="1">
        <v>1.0</v>
      </c>
      <c r="V48" s="3"/>
      <c r="W48" s="3"/>
      <c r="X48" s="3"/>
      <c r="Y48" s="3"/>
      <c r="Z48" s="3"/>
    </row>
    <row r="49">
      <c r="A49" s="102" t="s">
        <v>240</v>
      </c>
      <c r="B49" s="24">
        <f t="shared" si="7"/>
        <v>300</v>
      </c>
      <c r="C49" s="36">
        <v>30.0</v>
      </c>
      <c r="D49" s="37">
        <f t="shared" si="8"/>
        <v>300</v>
      </c>
      <c r="E49" s="41"/>
      <c r="F49" s="41"/>
      <c r="G49" s="40"/>
      <c r="H49" s="40"/>
      <c r="I49" s="44"/>
      <c r="J49" s="40"/>
      <c r="K49" s="44"/>
      <c r="L49" s="41">
        <v>0.5</v>
      </c>
      <c r="M49" s="44"/>
      <c r="N49" s="37">
        <f t="shared" si="9"/>
        <v>0.5</v>
      </c>
      <c r="O49" s="40"/>
      <c r="P49" s="40"/>
      <c r="Q49" s="46">
        <v>3.0</v>
      </c>
      <c r="R49" s="42">
        <f t="shared" si="10"/>
        <v>3</v>
      </c>
      <c r="S49" s="43">
        <f t="shared" si="11"/>
        <v>302.5</v>
      </c>
      <c r="T49" s="33">
        <f t="shared" si="12"/>
        <v>2</v>
      </c>
      <c r="U49" s="34">
        <v>0.0</v>
      </c>
      <c r="V49" s="3"/>
      <c r="W49" s="3"/>
      <c r="X49" s="3"/>
      <c r="Y49" s="3"/>
      <c r="Z49" s="3"/>
    </row>
    <row r="50">
      <c r="A50" s="102" t="s">
        <v>241</v>
      </c>
      <c r="B50" s="24">
        <f t="shared" si="7"/>
        <v>300</v>
      </c>
      <c r="C50" s="36">
        <v>30.0</v>
      </c>
      <c r="D50" s="37">
        <f t="shared" si="8"/>
        <v>300</v>
      </c>
      <c r="E50" s="44"/>
      <c r="F50" s="41"/>
      <c r="G50" s="40"/>
      <c r="H50" s="40"/>
      <c r="I50" s="41">
        <v>0.5</v>
      </c>
      <c r="J50" s="40"/>
      <c r="K50" s="44"/>
      <c r="L50" s="41">
        <v>0.5</v>
      </c>
      <c r="M50" s="44"/>
      <c r="N50" s="37">
        <f t="shared" si="9"/>
        <v>1</v>
      </c>
      <c r="O50" s="40"/>
      <c r="P50" s="40"/>
      <c r="Q50" s="67">
        <v>3.5</v>
      </c>
      <c r="R50" s="42">
        <f t="shared" si="10"/>
        <v>3.5</v>
      </c>
      <c r="S50" s="45">
        <f t="shared" si="11"/>
        <v>302.5</v>
      </c>
      <c r="T50" s="33">
        <f t="shared" si="12"/>
        <v>2</v>
      </c>
      <c r="U50" s="34">
        <v>0.0</v>
      </c>
      <c r="V50" s="3"/>
      <c r="W50" s="3"/>
      <c r="X50" s="3"/>
      <c r="Y50" s="3"/>
      <c r="Z50" s="3"/>
    </row>
    <row r="51">
      <c r="A51" s="102" t="s">
        <v>242</v>
      </c>
      <c r="B51" s="24">
        <f t="shared" si="7"/>
        <v>300</v>
      </c>
      <c r="C51" s="36">
        <v>30.0</v>
      </c>
      <c r="D51" s="37">
        <f t="shared" si="8"/>
        <v>300</v>
      </c>
      <c r="E51" s="41"/>
      <c r="F51" s="44"/>
      <c r="G51" s="40"/>
      <c r="H51" s="40"/>
      <c r="I51" s="44"/>
      <c r="J51" s="40"/>
      <c r="K51" s="44"/>
      <c r="L51" s="44"/>
      <c r="M51" s="44"/>
      <c r="N51" s="37">
        <f t="shared" si="9"/>
        <v>0</v>
      </c>
      <c r="O51" s="40"/>
      <c r="P51" s="40"/>
      <c r="Q51" s="46">
        <v>4.0</v>
      </c>
      <c r="R51" s="42">
        <f t="shared" si="10"/>
        <v>4</v>
      </c>
      <c r="S51" s="45">
        <f t="shared" si="11"/>
        <v>304</v>
      </c>
      <c r="T51" s="33">
        <f t="shared" si="12"/>
        <v>1</v>
      </c>
      <c r="U51" s="34">
        <v>0.0</v>
      </c>
      <c r="V51" s="3"/>
      <c r="W51" s="3"/>
      <c r="X51" s="3"/>
      <c r="Y51" s="3"/>
      <c r="Z51" s="3"/>
    </row>
    <row r="52">
      <c r="A52" s="102" t="s">
        <v>243</v>
      </c>
      <c r="B52" s="24">
        <f t="shared" si="7"/>
        <v>300</v>
      </c>
      <c r="C52" s="36">
        <v>30.0</v>
      </c>
      <c r="D52" s="37">
        <f t="shared" si="8"/>
        <v>300</v>
      </c>
      <c r="E52" s="44"/>
      <c r="F52" s="44"/>
      <c r="G52" s="40"/>
      <c r="H52" s="40"/>
      <c r="I52" s="41">
        <v>0.5</v>
      </c>
      <c r="J52" s="40"/>
      <c r="K52" s="44"/>
      <c r="L52" s="44"/>
      <c r="M52" s="44"/>
      <c r="N52" s="37">
        <f t="shared" si="9"/>
        <v>0.5</v>
      </c>
      <c r="O52" s="40"/>
      <c r="P52" s="40"/>
      <c r="Q52" s="67">
        <v>3.0</v>
      </c>
      <c r="R52" s="42">
        <f t="shared" si="10"/>
        <v>3</v>
      </c>
      <c r="S52" s="45">
        <f t="shared" si="11"/>
        <v>302.5</v>
      </c>
      <c r="T52" s="33">
        <f t="shared" si="12"/>
        <v>2</v>
      </c>
      <c r="U52" s="34">
        <v>0.0</v>
      </c>
      <c r="V52" s="3"/>
      <c r="W52" s="3"/>
      <c r="X52" s="3"/>
      <c r="Y52" s="3"/>
      <c r="Z52" s="3"/>
    </row>
    <row r="53">
      <c r="A53" s="102" t="s">
        <v>244</v>
      </c>
      <c r="B53" s="24">
        <f t="shared" si="7"/>
        <v>298</v>
      </c>
      <c r="C53" s="36">
        <v>30.0</v>
      </c>
      <c r="D53" s="37">
        <f t="shared" si="8"/>
        <v>298</v>
      </c>
      <c r="E53" s="41">
        <v>3.0</v>
      </c>
      <c r="F53" s="41">
        <v>1.5</v>
      </c>
      <c r="G53" s="40"/>
      <c r="H53" s="40"/>
      <c r="I53" s="41">
        <v>1.0</v>
      </c>
      <c r="J53" s="40"/>
      <c r="K53" s="44"/>
      <c r="L53" s="44"/>
      <c r="M53" s="44"/>
      <c r="N53" s="37">
        <f t="shared" si="9"/>
        <v>5.5</v>
      </c>
      <c r="O53" s="40"/>
      <c r="P53" s="40"/>
      <c r="Q53" s="67">
        <v>2.0</v>
      </c>
      <c r="R53" s="42">
        <f t="shared" si="10"/>
        <v>2</v>
      </c>
      <c r="S53" s="45">
        <f t="shared" si="11"/>
        <v>294.5</v>
      </c>
      <c r="T53" s="33">
        <f t="shared" si="12"/>
        <v>14</v>
      </c>
      <c r="U53" s="1">
        <v>2.0</v>
      </c>
      <c r="V53" s="3"/>
      <c r="W53" s="3"/>
      <c r="X53" s="3"/>
      <c r="Y53" s="3"/>
      <c r="Z53" s="3"/>
    </row>
    <row r="54">
      <c r="A54" s="102" t="s">
        <v>245</v>
      </c>
      <c r="B54" s="24">
        <f t="shared" si="7"/>
        <v>300</v>
      </c>
      <c r="C54" s="36">
        <v>30.0</v>
      </c>
      <c r="D54" s="37">
        <f t="shared" si="8"/>
        <v>300</v>
      </c>
      <c r="E54" s="41"/>
      <c r="F54" s="41">
        <v>0.5</v>
      </c>
      <c r="G54" s="40"/>
      <c r="H54" s="40"/>
      <c r="I54" s="41">
        <v>0.5</v>
      </c>
      <c r="J54" s="38"/>
      <c r="K54" s="44"/>
      <c r="L54" s="44"/>
      <c r="M54" s="44"/>
      <c r="N54" s="37">
        <f t="shared" si="9"/>
        <v>1</v>
      </c>
      <c r="O54" s="40"/>
      <c r="P54" s="40"/>
      <c r="Q54" s="67">
        <v>2.5</v>
      </c>
      <c r="R54" s="42">
        <f t="shared" si="10"/>
        <v>2.5</v>
      </c>
      <c r="S54" s="45">
        <f t="shared" si="11"/>
        <v>301.5</v>
      </c>
      <c r="T54" s="33">
        <f t="shared" si="12"/>
        <v>8</v>
      </c>
      <c r="U54" s="34">
        <v>0.0</v>
      </c>
      <c r="V54" s="3"/>
      <c r="W54" s="3"/>
      <c r="X54" s="3"/>
      <c r="Y54" s="3"/>
      <c r="Z54" s="3"/>
    </row>
    <row r="55">
      <c r="A55" s="102" t="s">
        <v>246</v>
      </c>
      <c r="B55" s="24">
        <f t="shared" si="7"/>
        <v>300</v>
      </c>
      <c r="C55" s="36">
        <v>30.0</v>
      </c>
      <c r="D55" s="37">
        <f t="shared" si="8"/>
        <v>300</v>
      </c>
      <c r="E55" s="41"/>
      <c r="F55" s="41">
        <v>1.5</v>
      </c>
      <c r="G55" s="40"/>
      <c r="H55" s="40"/>
      <c r="I55" s="41">
        <v>3.0</v>
      </c>
      <c r="J55" s="40"/>
      <c r="K55" s="44"/>
      <c r="L55" s="41">
        <v>0.5</v>
      </c>
      <c r="M55" s="44"/>
      <c r="N55" s="37">
        <f t="shared" si="9"/>
        <v>5</v>
      </c>
      <c r="O55" s="40"/>
      <c r="P55" s="40"/>
      <c r="Q55" s="67">
        <v>5.5</v>
      </c>
      <c r="R55" s="42">
        <f t="shared" si="10"/>
        <v>5.5</v>
      </c>
      <c r="S55" s="47">
        <f t="shared" si="11"/>
        <v>300.5</v>
      </c>
      <c r="T55" s="33">
        <f t="shared" si="12"/>
        <v>11</v>
      </c>
      <c r="U55" s="34">
        <v>0.0</v>
      </c>
      <c r="V55" s="3"/>
      <c r="W55" s="3"/>
      <c r="X55" s="3"/>
      <c r="Y55" s="3"/>
      <c r="Z55" s="3"/>
    </row>
    <row r="56">
      <c r="A56" s="102" t="s">
        <v>247</v>
      </c>
      <c r="B56" s="24">
        <f t="shared" si="7"/>
        <v>300</v>
      </c>
      <c r="C56" s="36">
        <v>30.0</v>
      </c>
      <c r="D56" s="37">
        <f t="shared" si="8"/>
        <v>300</v>
      </c>
      <c r="E56" s="41"/>
      <c r="F56" s="41">
        <v>0.5</v>
      </c>
      <c r="G56" s="40"/>
      <c r="H56" s="40"/>
      <c r="I56" s="41"/>
      <c r="J56" s="38"/>
      <c r="K56" s="44"/>
      <c r="L56" s="41">
        <v>0.5</v>
      </c>
      <c r="M56" s="41">
        <v>0.5</v>
      </c>
      <c r="N56" s="37">
        <f t="shared" si="9"/>
        <v>1.5</v>
      </c>
      <c r="O56" s="40"/>
      <c r="P56" s="40"/>
      <c r="Q56" s="67">
        <v>2.5</v>
      </c>
      <c r="R56" s="42">
        <f t="shared" si="10"/>
        <v>2.5</v>
      </c>
      <c r="S56" s="47">
        <f t="shared" si="11"/>
        <v>301</v>
      </c>
      <c r="T56" s="33">
        <f t="shared" si="12"/>
        <v>9</v>
      </c>
      <c r="U56" s="34">
        <v>0.0</v>
      </c>
      <c r="V56" s="3"/>
      <c r="W56" s="3"/>
      <c r="X56" s="3"/>
      <c r="Y56" s="3"/>
      <c r="Z56" s="3"/>
    </row>
    <row r="57">
      <c r="A57" s="102" t="s">
        <v>248</v>
      </c>
      <c r="B57" s="24">
        <f t="shared" si="7"/>
        <v>300</v>
      </c>
      <c r="C57" s="36">
        <v>30.0</v>
      </c>
      <c r="D57" s="37">
        <f t="shared" si="8"/>
        <v>300</v>
      </c>
      <c r="E57" s="44"/>
      <c r="F57" s="41"/>
      <c r="G57" s="40"/>
      <c r="H57" s="40"/>
      <c r="I57" s="41">
        <v>0.5</v>
      </c>
      <c r="J57" s="40"/>
      <c r="K57" s="44"/>
      <c r="L57" s="44"/>
      <c r="M57" s="44"/>
      <c r="N57" s="37">
        <f t="shared" si="9"/>
        <v>0.5</v>
      </c>
      <c r="O57" s="40"/>
      <c r="P57" s="40"/>
      <c r="Q57" s="46">
        <v>3.0</v>
      </c>
      <c r="R57" s="42">
        <f t="shared" si="10"/>
        <v>3</v>
      </c>
      <c r="S57" s="43">
        <f t="shared" si="11"/>
        <v>302.5</v>
      </c>
      <c r="T57" s="33">
        <f t="shared" si="12"/>
        <v>2</v>
      </c>
      <c r="U57" s="34">
        <v>0.0</v>
      </c>
      <c r="V57" s="3"/>
      <c r="W57" s="3"/>
      <c r="X57" s="3"/>
      <c r="Y57" s="3"/>
      <c r="Z57" s="3"/>
    </row>
    <row r="58">
      <c r="A58" s="102" t="s">
        <v>249</v>
      </c>
      <c r="B58" s="24">
        <f t="shared" si="7"/>
        <v>300</v>
      </c>
      <c r="C58" s="36">
        <v>30.0</v>
      </c>
      <c r="D58" s="37">
        <f t="shared" si="8"/>
        <v>300</v>
      </c>
      <c r="E58" s="44"/>
      <c r="F58" s="41">
        <v>2.0</v>
      </c>
      <c r="G58" s="40"/>
      <c r="H58" s="40"/>
      <c r="I58" s="41"/>
      <c r="J58" s="40"/>
      <c r="K58" s="44"/>
      <c r="L58" s="44"/>
      <c r="M58" s="41"/>
      <c r="N58" s="37">
        <f t="shared" si="9"/>
        <v>2</v>
      </c>
      <c r="O58" s="40"/>
      <c r="P58" s="40"/>
      <c r="Q58" s="67">
        <v>3.0</v>
      </c>
      <c r="R58" s="42">
        <f t="shared" si="10"/>
        <v>3</v>
      </c>
      <c r="S58" s="45">
        <f t="shared" si="11"/>
        <v>301</v>
      </c>
      <c r="T58" s="33">
        <f t="shared" si="12"/>
        <v>9</v>
      </c>
      <c r="U58" s="34">
        <v>0.0</v>
      </c>
      <c r="V58" s="3"/>
      <c r="W58" s="3"/>
      <c r="X58" s="3"/>
      <c r="Y58" s="3"/>
      <c r="Z58" s="3"/>
    </row>
    <row r="59">
      <c r="A59" s="102" t="s">
        <v>250</v>
      </c>
      <c r="B59" s="24">
        <f t="shared" si="7"/>
        <v>300</v>
      </c>
      <c r="C59" s="36">
        <v>30.0</v>
      </c>
      <c r="D59" s="37">
        <f t="shared" si="8"/>
        <v>300</v>
      </c>
      <c r="E59" s="41"/>
      <c r="F59" s="44"/>
      <c r="G59" s="40"/>
      <c r="H59" s="40"/>
      <c r="I59" s="44"/>
      <c r="J59" s="40"/>
      <c r="K59" s="44"/>
      <c r="L59" s="44"/>
      <c r="M59" s="41"/>
      <c r="N59" s="37">
        <f t="shared" si="9"/>
        <v>0</v>
      </c>
      <c r="O59" s="40"/>
      <c r="P59" s="40"/>
      <c r="Q59" s="67">
        <v>2.0</v>
      </c>
      <c r="R59" s="42">
        <f t="shared" si="10"/>
        <v>2</v>
      </c>
      <c r="S59" s="45">
        <f t="shared" si="11"/>
        <v>302</v>
      </c>
      <c r="T59" s="33">
        <f t="shared" si="12"/>
        <v>6</v>
      </c>
      <c r="U59" s="34">
        <v>0.0</v>
      </c>
      <c r="V59" s="3"/>
      <c r="W59" s="3"/>
      <c r="X59" s="3"/>
      <c r="Y59" s="3"/>
      <c r="Z59" s="3"/>
    </row>
    <row r="60">
      <c r="A60" s="102" t="s">
        <v>251</v>
      </c>
      <c r="B60" s="24">
        <f t="shared" si="7"/>
        <v>300</v>
      </c>
      <c r="C60" s="36">
        <v>30.0</v>
      </c>
      <c r="D60" s="37">
        <f t="shared" si="8"/>
        <v>300</v>
      </c>
      <c r="E60" s="44"/>
      <c r="F60" s="41">
        <v>0.5</v>
      </c>
      <c r="G60" s="40"/>
      <c r="H60" s="40"/>
      <c r="I60" s="41">
        <v>0.5</v>
      </c>
      <c r="J60" s="40"/>
      <c r="K60" s="44"/>
      <c r="L60" s="44"/>
      <c r="M60" s="44"/>
      <c r="N60" s="37">
        <f t="shared" si="9"/>
        <v>1</v>
      </c>
      <c r="O60" s="40"/>
      <c r="P60" s="40"/>
      <c r="Q60" s="67">
        <v>3.0</v>
      </c>
      <c r="R60" s="42">
        <f t="shared" si="10"/>
        <v>3</v>
      </c>
      <c r="S60" s="47">
        <f t="shared" si="11"/>
        <v>302</v>
      </c>
      <c r="T60" s="33">
        <f t="shared" si="12"/>
        <v>6</v>
      </c>
      <c r="U60" s="34">
        <v>0.0</v>
      </c>
      <c r="V60" s="3"/>
      <c r="W60" s="3"/>
      <c r="X60" s="3"/>
      <c r="Y60" s="3"/>
      <c r="Z60" s="3"/>
    </row>
    <row r="61">
      <c r="A61" s="103" t="s">
        <v>252</v>
      </c>
      <c r="B61" s="49">
        <f t="shared" si="7"/>
        <v>300</v>
      </c>
      <c r="C61" s="50">
        <v>30.0</v>
      </c>
      <c r="D61" s="51">
        <f t="shared" si="8"/>
        <v>300</v>
      </c>
      <c r="E61" s="74">
        <v>1.5</v>
      </c>
      <c r="F61" s="74">
        <v>0.5</v>
      </c>
      <c r="G61" s="53"/>
      <c r="H61" s="53"/>
      <c r="I61" s="74">
        <v>0.5</v>
      </c>
      <c r="J61" s="52"/>
      <c r="K61" s="54"/>
      <c r="L61" s="54"/>
      <c r="M61" s="74"/>
      <c r="N61" s="51">
        <f t="shared" si="9"/>
        <v>2.5</v>
      </c>
      <c r="O61" s="53"/>
      <c r="P61" s="53"/>
      <c r="Q61" s="69">
        <v>2.5</v>
      </c>
      <c r="R61" s="56">
        <f t="shared" si="10"/>
        <v>2.5</v>
      </c>
      <c r="S61" s="57">
        <f t="shared" si="11"/>
        <v>300</v>
      </c>
      <c r="T61" s="33">
        <f t="shared" si="12"/>
        <v>13</v>
      </c>
      <c r="U61" s="34">
        <v>0.0</v>
      </c>
      <c r="V61" s="3"/>
      <c r="W61" s="3"/>
      <c r="X61" s="3"/>
      <c r="Y61" s="3"/>
      <c r="Z61" s="3"/>
    </row>
    <row r="62">
      <c r="A62" s="3"/>
      <c r="B62" s="3"/>
      <c r="C62" s="3"/>
      <c r="D62" s="3"/>
      <c r="E62" s="104"/>
      <c r="F62" s="104"/>
      <c r="G62" s="3"/>
      <c r="H62" s="3"/>
      <c r="I62" s="104"/>
      <c r="J62" s="3"/>
      <c r="K62" s="104"/>
      <c r="L62" s="104"/>
      <c r="M62" s="61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63"/>
      <c r="B63" s="63" t="s">
        <v>37</v>
      </c>
      <c r="C63" s="3"/>
      <c r="D63" s="3"/>
      <c r="E63" s="104"/>
      <c r="F63" s="104"/>
      <c r="G63" s="3"/>
      <c r="H63" s="3"/>
      <c r="I63" s="104"/>
      <c r="J63" s="3"/>
      <c r="K63" s="104"/>
      <c r="L63" s="104"/>
      <c r="M63" s="71" t="s">
        <v>52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65" t="s">
        <v>270</v>
      </c>
      <c r="C64" s="3"/>
      <c r="D64" s="3"/>
      <c r="E64" s="104"/>
      <c r="F64" s="104"/>
      <c r="G64" s="3"/>
      <c r="H64" s="3"/>
      <c r="I64" s="104"/>
      <c r="J64" s="3"/>
      <c r="K64" s="104"/>
      <c r="L64" s="106"/>
      <c r="M64" s="72" t="s">
        <v>271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65" t="s">
        <v>272</v>
      </c>
      <c r="C65" s="3"/>
      <c r="D65" s="3"/>
      <c r="E65" s="104"/>
      <c r="F65" s="104"/>
      <c r="G65" s="3"/>
      <c r="H65" s="3"/>
      <c r="I65" s="104"/>
      <c r="J65" s="3"/>
      <c r="K65" s="105"/>
      <c r="L65" s="106"/>
      <c r="M65" s="71" t="s">
        <v>273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65" t="s">
        <v>274</v>
      </c>
      <c r="C66" s="3"/>
      <c r="D66" s="3"/>
      <c r="E66" s="104"/>
      <c r="F66" s="104"/>
      <c r="G66" s="3"/>
      <c r="H66" s="3"/>
      <c r="I66" s="104"/>
      <c r="J66" s="3"/>
      <c r="K66" s="107"/>
      <c r="L66" s="104"/>
      <c r="M66" s="72" t="s">
        <v>275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65" t="s">
        <v>276</v>
      </c>
      <c r="C67" s="3"/>
      <c r="D67" s="3"/>
      <c r="E67" s="104"/>
      <c r="F67" s="104"/>
      <c r="G67" s="3"/>
      <c r="H67" s="3"/>
      <c r="I67" s="104"/>
      <c r="J67" s="3"/>
      <c r="K67" s="104"/>
      <c r="L67" s="104"/>
      <c r="M67" s="71" t="s">
        <v>57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65" t="s">
        <v>277</v>
      </c>
      <c r="C68" s="3"/>
      <c r="D68" s="3"/>
      <c r="E68" s="104"/>
      <c r="F68" s="104"/>
      <c r="G68" s="3"/>
      <c r="H68" s="3"/>
      <c r="I68" s="104"/>
      <c r="J68" s="3"/>
      <c r="K68" s="104"/>
      <c r="L68" s="104"/>
      <c r="M68" s="72" t="s">
        <v>278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65" t="s">
        <v>279</v>
      </c>
      <c r="C69" s="3"/>
      <c r="D69" s="3"/>
      <c r="E69" s="104"/>
      <c r="F69" s="104"/>
      <c r="G69" s="3"/>
      <c r="H69" s="3"/>
      <c r="I69" s="104"/>
      <c r="J69" s="3"/>
      <c r="K69" s="104"/>
      <c r="L69" s="104"/>
      <c r="M69" s="61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65" t="s">
        <v>280</v>
      </c>
      <c r="C70" s="3"/>
      <c r="D70" s="3"/>
      <c r="E70" s="104"/>
      <c r="F70" s="104"/>
      <c r="G70" s="3"/>
      <c r="H70" s="3"/>
      <c r="I70" s="104"/>
      <c r="J70" s="3"/>
      <c r="K70" s="104"/>
      <c r="L70" s="104"/>
      <c r="M70" s="71" t="s">
        <v>281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65" t="s">
        <v>282</v>
      </c>
      <c r="C71" s="3"/>
      <c r="D71" s="3"/>
      <c r="E71" s="104"/>
      <c r="F71" s="104"/>
      <c r="G71" s="3"/>
      <c r="H71" s="3"/>
      <c r="I71" s="104"/>
      <c r="J71" s="3"/>
      <c r="K71" s="104"/>
      <c r="L71" s="104"/>
      <c r="M71" s="72" t="s">
        <v>283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65" t="s">
        <v>284</v>
      </c>
      <c r="C72" s="3"/>
      <c r="D72" s="3"/>
      <c r="E72" s="104"/>
      <c r="F72" s="104"/>
      <c r="G72" s="3"/>
      <c r="H72" s="3"/>
      <c r="I72" s="104"/>
      <c r="J72" s="3"/>
      <c r="K72" s="104"/>
      <c r="L72" s="104"/>
      <c r="M72" s="72" t="s">
        <v>285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65" t="s">
        <v>286</v>
      </c>
      <c r="C73" s="3"/>
      <c r="D73" s="3"/>
      <c r="E73" s="104"/>
      <c r="F73" s="104"/>
      <c r="G73" s="3"/>
      <c r="H73" s="3"/>
      <c r="I73" s="104"/>
      <c r="J73" s="3"/>
      <c r="K73" s="104"/>
      <c r="L73" s="104"/>
      <c r="M73" s="72" t="s">
        <v>287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65" t="s">
        <v>288</v>
      </c>
      <c r="C74" s="3"/>
      <c r="D74" s="3"/>
      <c r="E74" s="104"/>
      <c r="F74" s="104"/>
      <c r="G74" s="3"/>
      <c r="H74" s="3"/>
      <c r="I74" s="104"/>
      <c r="J74" s="3"/>
      <c r="K74" s="104"/>
      <c r="L74" s="104"/>
      <c r="M74" s="72" t="s">
        <v>289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104"/>
      <c r="F75" s="104"/>
      <c r="G75" s="3"/>
      <c r="H75" s="3"/>
      <c r="I75" s="104"/>
      <c r="J75" s="3"/>
      <c r="K75" s="104"/>
      <c r="L75" s="104"/>
      <c r="M75" s="72" t="s">
        <v>290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104"/>
      <c r="F76" s="104"/>
      <c r="G76" s="3"/>
      <c r="H76" s="3"/>
      <c r="I76" s="104"/>
      <c r="J76" s="3"/>
      <c r="K76" s="104"/>
      <c r="L76" s="104"/>
      <c r="M76" s="61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104"/>
      <c r="F77" s="104"/>
      <c r="G77" s="3"/>
      <c r="H77" s="3"/>
      <c r="I77" s="104"/>
      <c r="J77" s="3"/>
      <c r="K77" s="104"/>
      <c r="L77" s="104"/>
      <c r="M77" s="61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104"/>
      <c r="F78" s="104"/>
      <c r="G78" s="3"/>
      <c r="H78" s="3"/>
      <c r="I78" s="104"/>
      <c r="J78" s="3"/>
      <c r="K78" s="104"/>
      <c r="L78" s="104"/>
      <c r="M78" s="61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 t="s">
        <v>291</v>
      </c>
      <c r="U79" s="2"/>
      <c r="V79" s="3"/>
      <c r="W79" s="3"/>
      <c r="X79" s="3"/>
      <c r="Y79" s="3"/>
      <c r="Z79" s="3"/>
    </row>
    <row r="80">
      <c r="A80" s="1" t="s">
        <v>71</v>
      </c>
      <c r="U80" s="2"/>
      <c r="V80" s="3"/>
      <c r="W80" s="3"/>
      <c r="X80" s="3"/>
      <c r="Y80" s="3"/>
      <c r="Z80" s="3"/>
    </row>
    <row r="81">
      <c r="A81" s="2"/>
      <c r="B81" s="4"/>
      <c r="C81" s="2"/>
      <c r="D81" s="2"/>
      <c r="E81" s="98"/>
      <c r="F81" s="98"/>
      <c r="G81" s="2"/>
      <c r="H81" s="2"/>
      <c r="I81" s="98"/>
      <c r="J81" s="2"/>
      <c r="K81" s="98"/>
      <c r="L81" s="98"/>
      <c r="M81" s="7"/>
      <c r="N81" s="2"/>
      <c r="O81" s="2"/>
      <c r="P81" s="2"/>
      <c r="Q81" s="2"/>
      <c r="R81" s="2"/>
      <c r="S81" s="2"/>
      <c r="T81" s="2"/>
      <c r="U81" s="2"/>
      <c r="V81" s="3"/>
      <c r="W81" s="3"/>
      <c r="X81" s="3"/>
      <c r="Y81" s="3"/>
      <c r="Z81" s="3"/>
    </row>
    <row r="82">
      <c r="A82" s="8" t="s">
        <v>2</v>
      </c>
      <c r="B82" s="9" t="s">
        <v>3</v>
      </c>
      <c r="C82" s="10"/>
      <c r="D82" s="11"/>
      <c r="E82" s="99" t="s">
        <v>4</v>
      </c>
      <c r="F82" s="10"/>
      <c r="G82" s="10"/>
      <c r="H82" s="10"/>
      <c r="I82" s="10"/>
      <c r="J82" s="10"/>
      <c r="K82" s="10"/>
      <c r="L82" s="10"/>
      <c r="M82" s="10"/>
      <c r="N82" s="11"/>
      <c r="O82" s="13" t="s">
        <v>5</v>
      </c>
      <c r="P82" s="10"/>
      <c r="Q82" s="10"/>
      <c r="R82" s="11"/>
      <c r="S82" s="14" t="s">
        <v>6</v>
      </c>
      <c r="T82" s="14" t="s">
        <v>7</v>
      </c>
      <c r="U82" s="6"/>
      <c r="V82" s="3"/>
      <c r="W82" s="3"/>
      <c r="X82" s="3"/>
      <c r="Y82" s="3"/>
      <c r="Z82" s="3"/>
    </row>
    <row r="83">
      <c r="A83" s="15"/>
      <c r="B83" s="16" t="s">
        <v>8</v>
      </c>
      <c r="C83" s="17" t="s">
        <v>9</v>
      </c>
      <c r="D83" s="14" t="s">
        <v>10</v>
      </c>
      <c r="E83" s="18" t="s">
        <v>11</v>
      </c>
      <c r="F83" s="18" t="s">
        <v>12</v>
      </c>
      <c r="G83" s="17" t="s">
        <v>13</v>
      </c>
      <c r="H83" s="17" t="s">
        <v>14</v>
      </c>
      <c r="I83" s="18" t="s">
        <v>15</v>
      </c>
      <c r="J83" s="17" t="s">
        <v>16</v>
      </c>
      <c r="K83" s="18" t="s">
        <v>17</v>
      </c>
      <c r="L83" s="18" t="s">
        <v>18</v>
      </c>
      <c r="M83" s="18" t="s">
        <v>19</v>
      </c>
      <c r="N83" s="14" t="s">
        <v>20</v>
      </c>
      <c r="O83" s="17" t="s">
        <v>21</v>
      </c>
      <c r="P83" s="17" t="s">
        <v>22</v>
      </c>
      <c r="Q83" s="17" t="s">
        <v>23</v>
      </c>
      <c r="R83" s="14" t="s">
        <v>24</v>
      </c>
      <c r="S83" s="19"/>
      <c r="T83" s="19"/>
      <c r="U83" s="6"/>
      <c r="V83" s="3"/>
      <c r="W83" s="3"/>
      <c r="X83" s="3"/>
      <c r="Y83" s="3"/>
      <c r="Z83" s="3"/>
    </row>
    <row r="84">
      <c r="A84" s="20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6"/>
      <c r="V84" s="3"/>
      <c r="W84" s="3"/>
      <c r="X84" s="3"/>
      <c r="Y84" s="3"/>
      <c r="Z84" s="3"/>
    </row>
    <row r="85">
      <c r="A85" s="100">
        <v>11.0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6"/>
      <c r="V85" s="3"/>
      <c r="W85" s="3"/>
      <c r="X85" s="3"/>
      <c r="Y85" s="3"/>
      <c r="Z85" s="3"/>
    </row>
    <row r="86">
      <c r="A86" s="101" t="s">
        <v>239</v>
      </c>
      <c r="B86" s="24">
        <f t="shared" ref="B86:B99" si="13">300-U86</f>
        <v>300</v>
      </c>
      <c r="C86" s="25">
        <v>30.0</v>
      </c>
      <c r="D86" s="26">
        <f t="shared" ref="D86:D99" si="14">B86</f>
        <v>300</v>
      </c>
      <c r="E86" s="30"/>
      <c r="F86" s="73">
        <v>0.5</v>
      </c>
      <c r="G86" s="29"/>
      <c r="H86" s="29"/>
      <c r="I86" s="73">
        <v>0.5</v>
      </c>
      <c r="J86" s="29"/>
      <c r="K86" s="30"/>
      <c r="L86" s="30"/>
      <c r="M86" s="73">
        <v>1.0</v>
      </c>
      <c r="N86" s="26">
        <f t="shared" ref="N86:N99" si="15">SUM(E86:M86)</f>
        <v>2</v>
      </c>
      <c r="O86" s="29"/>
      <c r="P86" s="29"/>
      <c r="Q86" s="83"/>
      <c r="R86" s="31">
        <f t="shared" ref="R86:R99" si="16">SUM(O86:Q86)</f>
        <v>0</v>
      </c>
      <c r="S86" s="32">
        <f t="shared" ref="S86:S99" si="17">D86-N86+R86</f>
        <v>298</v>
      </c>
      <c r="T86" s="33">
        <f t="shared" ref="T86:T99" si="18">RANK(S86,$S$86:$S$99,0)</f>
        <v>9</v>
      </c>
      <c r="U86" s="1">
        <v>0.0</v>
      </c>
      <c r="V86" s="3"/>
      <c r="W86" s="3"/>
      <c r="X86" s="3"/>
      <c r="Y86" s="3"/>
      <c r="Z86" s="3"/>
    </row>
    <row r="87">
      <c r="A87" s="102" t="s">
        <v>240</v>
      </c>
      <c r="B87" s="24">
        <f t="shared" si="13"/>
        <v>300</v>
      </c>
      <c r="C87" s="36">
        <v>30.0</v>
      </c>
      <c r="D87" s="37">
        <f t="shared" si="14"/>
        <v>300</v>
      </c>
      <c r="E87" s="41"/>
      <c r="F87" s="41">
        <v>0.5</v>
      </c>
      <c r="G87" s="40"/>
      <c r="H87" s="40"/>
      <c r="I87" s="41">
        <v>1.0</v>
      </c>
      <c r="J87" s="40"/>
      <c r="K87" s="44"/>
      <c r="L87" s="41"/>
      <c r="M87" s="41"/>
      <c r="N87" s="37">
        <f t="shared" si="15"/>
        <v>1.5</v>
      </c>
      <c r="O87" s="40"/>
      <c r="P87" s="40"/>
      <c r="Q87" s="46"/>
      <c r="R87" s="42">
        <f t="shared" si="16"/>
        <v>0</v>
      </c>
      <c r="S87" s="43">
        <f t="shared" si="17"/>
        <v>298.5</v>
      </c>
      <c r="T87" s="33">
        <f t="shared" si="18"/>
        <v>6</v>
      </c>
      <c r="U87" s="34">
        <v>0.0</v>
      </c>
      <c r="V87" s="3"/>
      <c r="W87" s="3"/>
      <c r="X87" s="3"/>
      <c r="Y87" s="3"/>
      <c r="Z87" s="3"/>
    </row>
    <row r="88">
      <c r="A88" s="102" t="s">
        <v>241</v>
      </c>
      <c r="B88" s="24">
        <f t="shared" si="13"/>
        <v>299</v>
      </c>
      <c r="C88" s="36">
        <v>30.0</v>
      </c>
      <c r="D88" s="37">
        <f t="shared" si="14"/>
        <v>299</v>
      </c>
      <c r="E88" s="44"/>
      <c r="F88" s="41"/>
      <c r="G88" s="40"/>
      <c r="H88" s="40"/>
      <c r="I88" s="41">
        <v>0.5</v>
      </c>
      <c r="J88" s="40"/>
      <c r="K88" s="44"/>
      <c r="L88" s="41"/>
      <c r="M88" s="41">
        <v>0.5</v>
      </c>
      <c r="N88" s="37">
        <f t="shared" si="15"/>
        <v>1</v>
      </c>
      <c r="O88" s="40"/>
      <c r="P88" s="40"/>
      <c r="Q88" s="67"/>
      <c r="R88" s="42">
        <f t="shared" si="16"/>
        <v>0</v>
      </c>
      <c r="S88" s="45">
        <f t="shared" si="17"/>
        <v>298</v>
      </c>
      <c r="T88" s="33">
        <f t="shared" si="18"/>
        <v>9</v>
      </c>
      <c r="U88" s="1">
        <v>1.0</v>
      </c>
      <c r="V88" s="3"/>
      <c r="W88" s="3"/>
      <c r="X88" s="3"/>
      <c r="Y88" s="3"/>
      <c r="Z88" s="3"/>
    </row>
    <row r="89">
      <c r="A89" s="102" t="s">
        <v>242</v>
      </c>
      <c r="B89" s="24">
        <f t="shared" si="13"/>
        <v>300</v>
      </c>
      <c r="C89" s="36">
        <v>30.0</v>
      </c>
      <c r="D89" s="37">
        <f t="shared" si="14"/>
        <v>300</v>
      </c>
      <c r="E89" s="41"/>
      <c r="F89" s="44"/>
      <c r="G89" s="40"/>
      <c r="H89" s="40"/>
      <c r="I89" s="41">
        <v>0.5</v>
      </c>
      <c r="J89" s="40"/>
      <c r="K89" s="44"/>
      <c r="L89" s="41"/>
      <c r="M89" s="41"/>
      <c r="N89" s="37">
        <f t="shared" si="15"/>
        <v>0.5</v>
      </c>
      <c r="O89" s="40"/>
      <c r="P89" s="40"/>
      <c r="Q89" s="46"/>
      <c r="R89" s="42">
        <f t="shared" si="16"/>
        <v>0</v>
      </c>
      <c r="S89" s="45">
        <f t="shared" si="17"/>
        <v>299.5</v>
      </c>
      <c r="T89" s="33">
        <f t="shared" si="18"/>
        <v>2</v>
      </c>
      <c r="U89" s="34">
        <v>0.0</v>
      </c>
      <c r="V89" s="3"/>
      <c r="W89" s="3"/>
      <c r="X89" s="3"/>
      <c r="Y89" s="3"/>
      <c r="Z89" s="3"/>
    </row>
    <row r="90">
      <c r="A90" s="102" t="s">
        <v>243</v>
      </c>
      <c r="B90" s="24">
        <f t="shared" si="13"/>
        <v>300</v>
      </c>
      <c r="C90" s="36">
        <v>30.0</v>
      </c>
      <c r="D90" s="37">
        <f t="shared" si="14"/>
        <v>300</v>
      </c>
      <c r="E90" s="44"/>
      <c r="F90" s="44"/>
      <c r="G90" s="40"/>
      <c r="H90" s="40"/>
      <c r="I90" s="41"/>
      <c r="J90" s="40"/>
      <c r="K90" s="44"/>
      <c r="L90" s="44"/>
      <c r="M90" s="41"/>
      <c r="N90" s="37">
        <f t="shared" si="15"/>
        <v>0</v>
      </c>
      <c r="O90" s="40"/>
      <c r="P90" s="40"/>
      <c r="Q90" s="67">
        <v>0.5</v>
      </c>
      <c r="R90" s="42">
        <f t="shared" si="16"/>
        <v>0.5</v>
      </c>
      <c r="S90" s="45">
        <f t="shared" si="17"/>
        <v>300.5</v>
      </c>
      <c r="T90" s="33">
        <f t="shared" si="18"/>
        <v>1</v>
      </c>
      <c r="U90" s="34">
        <v>0.0</v>
      </c>
      <c r="V90" s="3"/>
      <c r="W90" s="3"/>
      <c r="X90" s="3"/>
      <c r="Y90" s="3"/>
      <c r="Z90" s="3"/>
    </row>
    <row r="91">
      <c r="A91" s="102" t="s">
        <v>244</v>
      </c>
      <c r="B91" s="24">
        <f t="shared" si="13"/>
        <v>300</v>
      </c>
      <c r="C91" s="36">
        <v>30.0</v>
      </c>
      <c r="D91" s="37">
        <f t="shared" si="14"/>
        <v>300</v>
      </c>
      <c r="E91" s="41"/>
      <c r="F91" s="41">
        <v>1.0</v>
      </c>
      <c r="G91" s="40"/>
      <c r="H91" s="40"/>
      <c r="I91" s="41">
        <v>0.5</v>
      </c>
      <c r="J91" s="40"/>
      <c r="K91" s="44"/>
      <c r="L91" s="41">
        <v>1.0</v>
      </c>
      <c r="M91" s="41">
        <v>0.5</v>
      </c>
      <c r="N91" s="37">
        <f t="shared" si="15"/>
        <v>3</v>
      </c>
      <c r="O91" s="40"/>
      <c r="P91" s="40"/>
      <c r="Q91" s="67">
        <v>0.5</v>
      </c>
      <c r="R91" s="42">
        <f t="shared" si="16"/>
        <v>0.5</v>
      </c>
      <c r="S91" s="45">
        <f t="shared" si="17"/>
        <v>297.5</v>
      </c>
      <c r="T91" s="33">
        <f t="shared" si="18"/>
        <v>13</v>
      </c>
      <c r="U91" s="1">
        <v>0.0</v>
      </c>
      <c r="V91" s="3"/>
      <c r="W91" s="3"/>
      <c r="X91" s="3"/>
      <c r="Y91" s="3"/>
      <c r="Z91" s="3"/>
    </row>
    <row r="92">
      <c r="A92" s="102" t="s">
        <v>245</v>
      </c>
      <c r="B92" s="24">
        <f t="shared" si="13"/>
        <v>300</v>
      </c>
      <c r="C92" s="36">
        <v>30.0</v>
      </c>
      <c r="D92" s="37">
        <f t="shared" si="14"/>
        <v>300</v>
      </c>
      <c r="E92" s="41"/>
      <c r="F92" s="41">
        <v>0.5</v>
      </c>
      <c r="G92" s="40"/>
      <c r="H92" s="40"/>
      <c r="I92" s="41"/>
      <c r="J92" s="38"/>
      <c r="K92" s="44"/>
      <c r="L92" s="41">
        <v>1.0</v>
      </c>
      <c r="M92" s="44"/>
      <c r="N92" s="37">
        <f t="shared" si="15"/>
        <v>1.5</v>
      </c>
      <c r="O92" s="40"/>
      <c r="P92" s="40"/>
      <c r="Q92" s="67"/>
      <c r="R92" s="42">
        <f t="shared" si="16"/>
        <v>0</v>
      </c>
      <c r="S92" s="45">
        <f t="shared" si="17"/>
        <v>298.5</v>
      </c>
      <c r="T92" s="33">
        <f t="shared" si="18"/>
        <v>6</v>
      </c>
      <c r="U92" s="34">
        <v>0.0</v>
      </c>
      <c r="V92" s="3"/>
      <c r="W92" s="3"/>
      <c r="X92" s="3"/>
      <c r="Y92" s="3"/>
      <c r="Z92" s="3"/>
    </row>
    <row r="93">
      <c r="A93" s="102" t="s">
        <v>246</v>
      </c>
      <c r="B93" s="24">
        <f t="shared" si="13"/>
        <v>300</v>
      </c>
      <c r="C93" s="36">
        <v>30.0</v>
      </c>
      <c r="D93" s="37">
        <f t="shared" si="14"/>
        <v>300</v>
      </c>
      <c r="E93" s="41">
        <v>1.5</v>
      </c>
      <c r="F93" s="41">
        <v>0.5</v>
      </c>
      <c r="G93" s="40"/>
      <c r="H93" s="40"/>
      <c r="I93" s="41">
        <v>1.0</v>
      </c>
      <c r="J93" s="40"/>
      <c r="K93" s="44"/>
      <c r="L93" s="41"/>
      <c r="M93" s="61"/>
      <c r="N93" s="37">
        <f t="shared" si="15"/>
        <v>3</v>
      </c>
      <c r="O93" s="40"/>
      <c r="P93" s="40"/>
      <c r="Q93" s="67">
        <v>0.5</v>
      </c>
      <c r="R93" s="42">
        <f t="shared" si="16"/>
        <v>0.5</v>
      </c>
      <c r="S93" s="47">
        <f t="shared" si="17"/>
        <v>297.5</v>
      </c>
      <c r="T93" s="33">
        <f t="shared" si="18"/>
        <v>13</v>
      </c>
      <c r="U93" s="34">
        <v>0.0</v>
      </c>
      <c r="V93" s="3"/>
      <c r="W93" s="3"/>
      <c r="X93" s="3"/>
      <c r="Y93" s="3"/>
      <c r="Z93" s="3"/>
    </row>
    <row r="94">
      <c r="A94" s="102" t="s">
        <v>247</v>
      </c>
      <c r="B94" s="24">
        <f t="shared" si="13"/>
        <v>299</v>
      </c>
      <c r="C94" s="36">
        <v>30.0</v>
      </c>
      <c r="D94" s="37">
        <f t="shared" si="14"/>
        <v>299</v>
      </c>
      <c r="E94" s="41"/>
      <c r="F94" s="41"/>
      <c r="G94" s="40"/>
      <c r="H94" s="40"/>
      <c r="I94" s="41">
        <v>0.5</v>
      </c>
      <c r="J94" s="38"/>
      <c r="K94" s="44"/>
      <c r="L94" s="41">
        <v>1.0</v>
      </c>
      <c r="M94" s="41"/>
      <c r="N94" s="37">
        <f t="shared" si="15"/>
        <v>1.5</v>
      </c>
      <c r="O94" s="40"/>
      <c r="P94" s="40"/>
      <c r="Q94" s="67">
        <v>0.5</v>
      </c>
      <c r="R94" s="42">
        <f t="shared" si="16"/>
        <v>0.5</v>
      </c>
      <c r="S94" s="47">
        <f t="shared" si="17"/>
        <v>298</v>
      </c>
      <c r="T94" s="33">
        <f t="shared" si="18"/>
        <v>9</v>
      </c>
      <c r="U94" s="1">
        <v>1.0</v>
      </c>
      <c r="V94" s="3"/>
      <c r="W94" s="3"/>
      <c r="X94" s="3"/>
      <c r="Y94" s="3"/>
      <c r="Z94" s="3"/>
    </row>
    <row r="95">
      <c r="A95" s="102" t="s">
        <v>248</v>
      </c>
      <c r="B95" s="24">
        <f t="shared" si="13"/>
        <v>300</v>
      </c>
      <c r="C95" s="36">
        <v>30.0</v>
      </c>
      <c r="D95" s="37">
        <f t="shared" si="14"/>
        <v>300</v>
      </c>
      <c r="E95" s="44"/>
      <c r="F95" s="41"/>
      <c r="G95" s="40"/>
      <c r="H95" s="40"/>
      <c r="I95" s="41">
        <v>1.0</v>
      </c>
      <c r="J95" s="40"/>
      <c r="K95" s="44"/>
      <c r="L95" s="44"/>
      <c r="M95" s="41"/>
      <c r="N95" s="37">
        <f t="shared" si="15"/>
        <v>1</v>
      </c>
      <c r="O95" s="40"/>
      <c r="P95" s="40"/>
      <c r="Q95" s="46"/>
      <c r="R95" s="42">
        <f t="shared" si="16"/>
        <v>0</v>
      </c>
      <c r="S95" s="43">
        <f t="shared" si="17"/>
        <v>299</v>
      </c>
      <c r="T95" s="33">
        <f t="shared" si="18"/>
        <v>3</v>
      </c>
      <c r="U95" s="34">
        <v>0.0</v>
      </c>
      <c r="V95" s="3"/>
      <c r="W95" s="3"/>
      <c r="X95" s="3"/>
      <c r="Y95" s="3"/>
      <c r="Z95" s="3"/>
    </row>
    <row r="96">
      <c r="A96" s="102" t="s">
        <v>249</v>
      </c>
      <c r="B96" s="24">
        <f t="shared" si="13"/>
        <v>300</v>
      </c>
      <c r="C96" s="36">
        <v>30.0</v>
      </c>
      <c r="D96" s="37">
        <f t="shared" si="14"/>
        <v>300</v>
      </c>
      <c r="E96" s="44"/>
      <c r="F96" s="41"/>
      <c r="G96" s="40"/>
      <c r="H96" s="40"/>
      <c r="I96" s="41">
        <v>1.5</v>
      </c>
      <c r="J96" s="40"/>
      <c r="K96" s="44"/>
      <c r="L96" s="41"/>
      <c r="M96" s="41"/>
      <c r="N96" s="37">
        <f t="shared" si="15"/>
        <v>1.5</v>
      </c>
      <c r="O96" s="40"/>
      <c r="P96" s="40"/>
      <c r="Q96" s="67">
        <v>0.5</v>
      </c>
      <c r="R96" s="42">
        <f t="shared" si="16"/>
        <v>0.5</v>
      </c>
      <c r="S96" s="45">
        <f t="shared" si="17"/>
        <v>299</v>
      </c>
      <c r="T96" s="33">
        <f t="shared" si="18"/>
        <v>3</v>
      </c>
      <c r="U96" s="34">
        <v>0.0</v>
      </c>
      <c r="V96" s="3"/>
      <c r="W96" s="3"/>
      <c r="X96" s="3"/>
      <c r="Y96" s="3"/>
      <c r="Z96" s="3"/>
    </row>
    <row r="97">
      <c r="A97" s="102" t="s">
        <v>250</v>
      </c>
      <c r="B97" s="24">
        <f t="shared" si="13"/>
        <v>300</v>
      </c>
      <c r="C97" s="36">
        <v>30.0</v>
      </c>
      <c r="D97" s="37">
        <f t="shared" si="14"/>
        <v>300</v>
      </c>
      <c r="E97" s="41"/>
      <c r="F97" s="44"/>
      <c r="G97" s="40"/>
      <c r="H97" s="40"/>
      <c r="I97" s="44"/>
      <c r="J97" s="40"/>
      <c r="K97" s="44"/>
      <c r="L97" s="41">
        <v>1.0</v>
      </c>
      <c r="M97" s="41">
        <v>0.5</v>
      </c>
      <c r="N97" s="37">
        <f t="shared" si="15"/>
        <v>1.5</v>
      </c>
      <c r="O97" s="40"/>
      <c r="P97" s="40"/>
      <c r="Q97" s="67"/>
      <c r="R97" s="42">
        <f t="shared" si="16"/>
        <v>0</v>
      </c>
      <c r="S97" s="45">
        <f t="shared" si="17"/>
        <v>298.5</v>
      </c>
      <c r="T97" s="33">
        <f t="shared" si="18"/>
        <v>6</v>
      </c>
      <c r="U97" s="34">
        <v>0.0</v>
      </c>
      <c r="V97" s="3"/>
      <c r="W97" s="3"/>
      <c r="X97" s="3"/>
      <c r="Y97" s="3"/>
      <c r="Z97" s="3"/>
    </row>
    <row r="98">
      <c r="A98" s="102" t="s">
        <v>251</v>
      </c>
      <c r="B98" s="24">
        <f t="shared" si="13"/>
        <v>300</v>
      </c>
      <c r="C98" s="36">
        <v>30.0</v>
      </c>
      <c r="D98" s="37">
        <f t="shared" si="14"/>
        <v>300</v>
      </c>
      <c r="E98" s="44"/>
      <c r="F98" s="41"/>
      <c r="G98" s="40"/>
      <c r="H98" s="40"/>
      <c r="I98" s="41"/>
      <c r="J98" s="40"/>
      <c r="K98" s="44"/>
      <c r="L98" s="41">
        <v>1.0</v>
      </c>
      <c r="M98" s="44"/>
      <c r="N98" s="37">
        <f t="shared" si="15"/>
        <v>1</v>
      </c>
      <c r="O98" s="40"/>
      <c r="P98" s="40"/>
      <c r="Q98" s="67"/>
      <c r="R98" s="42">
        <f t="shared" si="16"/>
        <v>0</v>
      </c>
      <c r="S98" s="47">
        <f t="shared" si="17"/>
        <v>299</v>
      </c>
      <c r="T98" s="33">
        <f t="shared" si="18"/>
        <v>3</v>
      </c>
      <c r="U98" s="34">
        <v>0.0</v>
      </c>
      <c r="V98" s="3"/>
      <c r="W98" s="3"/>
      <c r="X98" s="3"/>
      <c r="Y98" s="3"/>
      <c r="Z98" s="3"/>
    </row>
    <row r="99">
      <c r="A99" s="103" t="s">
        <v>252</v>
      </c>
      <c r="B99" s="49">
        <f t="shared" si="13"/>
        <v>300</v>
      </c>
      <c r="C99" s="50">
        <v>30.0</v>
      </c>
      <c r="D99" s="51">
        <f t="shared" si="14"/>
        <v>300</v>
      </c>
      <c r="E99" s="74"/>
      <c r="F99" s="74"/>
      <c r="G99" s="53"/>
      <c r="H99" s="53"/>
      <c r="I99" s="74">
        <v>1.0</v>
      </c>
      <c r="J99" s="52"/>
      <c r="K99" s="54"/>
      <c r="L99" s="74">
        <v>0.5</v>
      </c>
      <c r="M99" s="74">
        <v>1.0</v>
      </c>
      <c r="N99" s="51">
        <f t="shared" si="15"/>
        <v>2.5</v>
      </c>
      <c r="O99" s="53"/>
      <c r="P99" s="53"/>
      <c r="Q99" s="69">
        <v>0.5</v>
      </c>
      <c r="R99" s="56">
        <f t="shared" si="16"/>
        <v>0.5</v>
      </c>
      <c r="S99" s="57">
        <f t="shared" si="17"/>
        <v>298</v>
      </c>
      <c r="T99" s="33">
        <f t="shared" si="18"/>
        <v>9</v>
      </c>
      <c r="U99" s="34">
        <v>0.0</v>
      </c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104"/>
      <c r="F100" s="104"/>
      <c r="G100" s="3"/>
      <c r="H100" s="3"/>
      <c r="I100" s="104"/>
      <c r="J100" s="3"/>
      <c r="K100" s="104"/>
      <c r="L100" s="104"/>
      <c r="M100" s="61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63"/>
      <c r="B101" s="63" t="s">
        <v>37</v>
      </c>
      <c r="C101" s="3"/>
      <c r="D101" s="3"/>
      <c r="E101" s="104"/>
      <c r="F101" s="104"/>
      <c r="G101" s="3"/>
      <c r="H101" s="3"/>
      <c r="I101" s="108" t="s">
        <v>292</v>
      </c>
      <c r="J101" s="3"/>
      <c r="K101" s="104"/>
      <c r="L101" s="104"/>
      <c r="M101" s="71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63"/>
      <c r="B102" s="65" t="s">
        <v>293</v>
      </c>
      <c r="C102" s="3"/>
      <c r="D102" s="3"/>
      <c r="E102" s="104"/>
      <c r="F102" s="104"/>
      <c r="G102" s="3"/>
      <c r="H102" s="3"/>
      <c r="I102" s="108" t="s">
        <v>294</v>
      </c>
      <c r="J102" s="3"/>
      <c r="K102" s="104"/>
      <c r="L102" s="104"/>
      <c r="M102" s="71"/>
      <c r="N102" s="3"/>
      <c r="O102" s="62" t="s">
        <v>75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65" t="s">
        <v>295</v>
      </c>
      <c r="C103" s="3"/>
      <c r="D103" s="3"/>
      <c r="E103" s="104"/>
      <c r="F103" s="104"/>
      <c r="G103" s="3"/>
      <c r="H103" s="3"/>
      <c r="I103" s="108" t="s">
        <v>296</v>
      </c>
      <c r="J103" s="3"/>
      <c r="K103" s="104"/>
      <c r="L103" s="106"/>
      <c r="M103" s="72"/>
      <c r="N103" s="3"/>
      <c r="O103" s="76" t="s">
        <v>297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65" t="s">
        <v>298</v>
      </c>
      <c r="C104" s="3"/>
      <c r="D104" s="3"/>
      <c r="E104" s="104"/>
      <c r="F104" s="104"/>
      <c r="G104" s="3"/>
      <c r="H104" s="3"/>
      <c r="I104" s="108" t="s">
        <v>299</v>
      </c>
      <c r="J104" s="3"/>
      <c r="K104" s="105"/>
      <c r="L104" s="106"/>
      <c r="M104" s="71"/>
      <c r="N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65" t="s">
        <v>300</v>
      </c>
      <c r="C105" s="3"/>
      <c r="D105" s="3"/>
      <c r="E105" s="104"/>
      <c r="F105" s="104"/>
      <c r="G105" s="3"/>
      <c r="H105" s="3"/>
      <c r="I105" s="104"/>
      <c r="J105" s="3"/>
      <c r="K105" s="105"/>
      <c r="L105" s="106"/>
      <c r="M105" s="71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65" t="s">
        <v>301</v>
      </c>
      <c r="C106" s="3"/>
      <c r="D106" s="3"/>
      <c r="E106" s="104"/>
      <c r="F106" s="104"/>
      <c r="G106" s="3"/>
      <c r="H106" s="3"/>
      <c r="I106" s="104"/>
      <c r="J106" s="3"/>
      <c r="K106" s="104"/>
      <c r="L106" s="104"/>
      <c r="M106" s="72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65" t="s">
        <v>302</v>
      </c>
      <c r="C107" s="3"/>
      <c r="D107" s="3"/>
      <c r="E107" s="104"/>
      <c r="F107" s="104"/>
      <c r="G107" s="3"/>
      <c r="H107" s="3"/>
      <c r="I107" s="104"/>
      <c r="J107" s="3"/>
      <c r="K107" s="104"/>
      <c r="L107" s="104"/>
      <c r="M107" s="72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65" t="s">
        <v>303</v>
      </c>
      <c r="C108" s="3"/>
      <c r="D108" s="3"/>
      <c r="E108" s="104"/>
      <c r="F108" s="104"/>
      <c r="G108" s="3"/>
      <c r="H108" s="3"/>
      <c r="I108" s="104"/>
      <c r="J108" s="3"/>
      <c r="K108" s="104"/>
      <c r="L108" s="104"/>
      <c r="M108" s="61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65" t="s">
        <v>304</v>
      </c>
      <c r="C109" s="3"/>
      <c r="D109" s="3"/>
      <c r="E109" s="104"/>
      <c r="F109" s="104"/>
      <c r="G109" s="3"/>
      <c r="H109" s="3"/>
      <c r="I109" s="104"/>
      <c r="J109" s="3"/>
      <c r="K109" s="104"/>
      <c r="L109" s="104"/>
      <c r="M109" s="71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65" t="s">
        <v>305</v>
      </c>
      <c r="C110" s="3"/>
      <c r="D110" s="3"/>
      <c r="E110" s="104"/>
      <c r="F110" s="104"/>
      <c r="G110" s="3"/>
      <c r="H110" s="3"/>
      <c r="I110" s="104"/>
      <c r="J110" s="3"/>
      <c r="K110" s="104"/>
      <c r="L110" s="104"/>
      <c r="M110" s="72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65" t="s">
        <v>306</v>
      </c>
      <c r="C111" s="3"/>
      <c r="D111" s="3"/>
      <c r="E111" s="104"/>
      <c r="F111" s="104"/>
      <c r="G111" s="3"/>
      <c r="H111" s="3"/>
      <c r="I111" s="104"/>
      <c r="J111" s="3"/>
      <c r="K111" s="104"/>
      <c r="L111" s="104"/>
      <c r="M111" s="72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65" t="s">
        <v>307</v>
      </c>
      <c r="C112" s="3"/>
      <c r="D112" s="3"/>
      <c r="E112" s="104"/>
      <c r="F112" s="104"/>
      <c r="G112" s="3"/>
      <c r="H112" s="3"/>
      <c r="I112" s="104"/>
      <c r="J112" s="3"/>
      <c r="K112" s="104"/>
      <c r="L112" s="104"/>
      <c r="M112" s="72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65" t="s">
        <v>308</v>
      </c>
      <c r="C113" s="3"/>
      <c r="D113" s="3"/>
      <c r="E113" s="104"/>
      <c r="F113" s="104"/>
      <c r="G113" s="3"/>
      <c r="H113" s="3"/>
      <c r="I113" s="104"/>
      <c r="J113" s="3"/>
      <c r="K113" s="104"/>
      <c r="L113" s="104"/>
      <c r="M113" s="61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104"/>
      <c r="F114" s="104"/>
      <c r="G114" s="3"/>
      <c r="H114" s="3"/>
      <c r="I114" s="104"/>
      <c r="J114" s="3"/>
      <c r="K114" s="104"/>
      <c r="L114" s="104"/>
      <c r="M114" s="61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104"/>
      <c r="F115" s="104"/>
      <c r="G115" s="3"/>
      <c r="H115" s="3"/>
      <c r="I115" s="104"/>
      <c r="J115" s="3"/>
      <c r="K115" s="104"/>
      <c r="L115" s="104"/>
      <c r="M115" s="61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104"/>
      <c r="F116" s="104"/>
      <c r="G116" s="3"/>
      <c r="H116" s="3"/>
      <c r="I116" s="104"/>
      <c r="J116" s="3"/>
      <c r="K116" s="104"/>
      <c r="L116" s="104"/>
      <c r="M116" s="61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" t="s">
        <v>309</v>
      </c>
      <c r="U117" s="2"/>
      <c r="V117" s="3"/>
      <c r="W117" s="3"/>
      <c r="X117" s="3"/>
      <c r="Y117" s="3"/>
      <c r="Z117" s="3"/>
    </row>
    <row r="118">
      <c r="A118" s="1" t="s">
        <v>86</v>
      </c>
      <c r="U118" s="2"/>
      <c r="V118" s="3"/>
      <c r="W118" s="3"/>
      <c r="X118" s="3"/>
      <c r="Y118" s="3"/>
      <c r="Z118" s="3"/>
    </row>
    <row r="119">
      <c r="A119" s="2"/>
      <c r="B119" s="4"/>
      <c r="C119" s="2"/>
      <c r="D119" s="2"/>
      <c r="E119" s="98"/>
      <c r="F119" s="98"/>
      <c r="G119" s="2"/>
      <c r="H119" s="2"/>
      <c r="I119" s="98"/>
      <c r="J119" s="2"/>
      <c r="K119" s="98"/>
      <c r="L119" s="98"/>
      <c r="M119" s="7"/>
      <c r="N119" s="2"/>
      <c r="O119" s="2"/>
      <c r="P119" s="2"/>
      <c r="Q119" s="2"/>
      <c r="R119" s="2"/>
      <c r="S119" s="2"/>
      <c r="T119" s="2"/>
      <c r="U119" s="2"/>
      <c r="V119" s="3"/>
      <c r="W119" s="3"/>
      <c r="X119" s="3"/>
      <c r="Y119" s="3"/>
      <c r="Z119" s="3"/>
    </row>
    <row r="120">
      <c r="A120" s="8" t="s">
        <v>2</v>
      </c>
      <c r="B120" s="9" t="s">
        <v>3</v>
      </c>
      <c r="C120" s="10"/>
      <c r="D120" s="11"/>
      <c r="E120" s="99" t="s">
        <v>4</v>
      </c>
      <c r="F120" s="10"/>
      <c r="G120" s="10"/>
      <c r="H120" s="10"/>
      <c r="I120" s="10"/>
      <c r="J120" s="10"/>
      <c r="K120" s="10"/>
      <c r="L120" s="10"/>
      <c r="M120" s="10"/>
      <c r="N120" s="11"/>
      <c r="O120" s="13" t="s">
        <v>5</v>
      </c>
      <c r="P120" s="10"/>
      <c r="Q120" s="10"/>
      <c r="R120" s="11"/>
      <c r="S120" s="14" t="s">
        <v>6</v>
      </c>
      <c r="T120" s="14" t="s">
        <v>7</v>
      </c>
      <c r="U120" s="6"/>
      <c r="V120" s="3"/>
      <c r="W120" s="3"/>
      <c r="X120" s="3"/>
      <c r="Y120" s="3"/>
      <c r="Z120" s="3"/>
    </row>
    <row r="121">
      <c r="A121" s="15"/>
      <c r="B121" s="16" t="s">
        <v>8</v>
      </c>
      <c r="C121" s="17" t="s">
        <v>9</v>
      </c>
      <c r="D121" s="14" t="s">
        <v>10</v>
      </c>
      <c r="E121" s="18" t="s">
        <v>11</v>
      </c>
      <c r="F121" s="18" t="s">
        <v>12</v>
      </c>
      <c r="G121" s="17" t="s">
        <v>13</v>
      </c>
      <c r="H121" s="17" t="s">
        <v>14</v>
      </c>
      <c r="I121" s="18" t="s">
        <v>15</v>
      </c>
      <c r="J121" s="17" t="s">
        <v>16</v>
      </c>
      <c r="K121" s="18" t="s">
        <v>17</v>
      </c>
      <c r="L121" s="18" t="s">
        <v>18</v>
      </c>
      <c r="M121" s="18" t="s">
        <v>19</v>
      </c>
      <c r="N121" s="14" t="s">
        <v>20</v>
      </c>
      <c r="O121" s="17" t="s">
        <v>21</v>
      </c>
      <c r="P121" s="17" t="s">
        <v>22</v>
      </c>
      <c r="Q121" s="17" t="s">
        <v>23</v>
      </c>
      <c r="R121" s="14" t="s">
        <v>24</v>
      </c>
      <c r="S121" s="19"/>
      <c r="T121" s="19"/>
      <c r="U121" s="6"/>
      <c r="V121" s="3"/>
      <c r="W121" s="3"/>
      <c r="X121" s="3"/>
      <c r="Y121" s="3"/>
      <c r="Z121" s="3"/>
    </row>
    <row r="122">
      <c r="A122" s="20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6"/>
      <c r="V122" s="3"/>
      <c r="W122" s="3"/>
      <c r="X122" s="3"/>
      <c r="Y122" s="3"/>
      <c r="Z122" s="3"/>
    </row>
    <row r="123">
      <c r="A123" s="100">
        <v>11.0</v>
      </c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6"/>
      <c r="V123" s="3"/>
      <c r="W123" s="3"/>
      <c r="X123" s="3"/>
      <c r="Y123" s="3"/>
      <c r="Z123" s="3"/>
    </row>
    <row r="124">
      <c r="A124" s="101" t="s">
        <v>239</v>
      </c>
      <c r="B124" s="24">
        <f t="shared" ref="B124:B137" si="19">300-U124</f>
        <v>300</v>
      </c>
      <c r="C124" s="25">
        <v>30.0</v>
      </c>
      <c r="D124" s="26">
        <f t="shared" ref="D124:D137" si="20">B124</f>
        <v>300</v>
      </c>
      <c r="E124" s="30"/>
      <c r="F124" s="73"/>
      <c r="G124" s="29"/>
      <c r="H124" s="29"/>
      <c r="I124" s="73"/>
      <c r="J124" s="29"/>
      <c r="K124" s="30"/>
      <c r="L124" s="30"/>
      <c r="M124" s="73"/>
      <c r="N124" s="26">
        <f t="shared" ref="N124:N137" si="21">SUM(E124:M124)</f>
        <v>0</v>
      </c>
      <c r="O124" s="29"/>
      <c r="P124" s="29"/>
      <c r="Q124" s="83">
        <v>2.0</v>
      </c>
      <c r="R124" s="31">
        <f t="shared" ref="R124:R137" si="22">SUM(O124:Q124)</f>
        <v>2</v>
      </c>
      <c r="S124" s="32">
        <f t="shared" ref="S124:S137" si="23">D124-N124+R124</f>
        <v>302</v>
      </c>
      <c r="T124" s="33">
        <f t="shared" ref="T124:T137" si="24">RANK(S124,$S$124:$S$137,0)</f>
        <v>2</v>
      </c>
      <c r="U124" s="1">
        <v>0.0</v>
      </c>
      <c r="V124" s="3"/>
      <c r="W124" s="3"/>
      <c r="X124" s="3"/>
      <c r="Y124" s="3"/>
      <c r="Z124" s="3"/>
    </row>
    <row r="125">
      <c r="A125" s="102" t="s">
        <v>240</v>
      </c>
      <c r="B125" s="24">
        <f t="shared" si="19"/>
        <v>300</v>
      </c>
      <c r="C125" s="36">
        <v>30.0</v>
      </c>
      <c r="D125" s="37">
        <f t="shared" si="20"/>
        <v>300</v>
      </c>
      <c r="E125" s="41"/>
      <c r="F125" s="41"/>
      <c r="G125" s="40"/>
      <c r="H125" s="40"/>
      <c r="I125" s="41">
        <v>1.5</v>
      </c>
      <c r="J125" s="40"/>
      <c r="K125" s="44"/>
      <c r="L125" s="41"/>
      <c r="M125" s="41">
        <v>0.5</v>
      </c>
      <c r="N125" s="37">
        <f t="shared" si="21"/>
        <v>2</v>
      </c>
      <c r="O125" s="40"/>
      <c r="P125" s="40"/>
      <c r="Q125" s="46">
        <v>2.0</v>
      </c>
      <c r="R125" s="42">
        <f t="shared" si="22"/>
        <v>2</v>
      </c>
      <c r="S125" s="43">
        <f t="shared" si="23"/>
        <v>300</v>
      </c>
      <c r="T125" s="33">
        <f t="shared" si="24"/>
        <v>11</v>
      </c>
      <c r="U125" s="34">
        <v>0.0</v>
      </c>
      <c r="V125" s="3"/>
      <c r="W125" s="3"/>
      <c r="X125" s="3"/>
      <c r="Y125" s="3"/>
      <c r="Z125" s="3"/>
    </row>
    <row r="126">
      <c r="A126" s="102" t="s">
        <v>241</v>
      </c>
      <c r="B126" s="24">
        <f t="shared" si="19"/>
        <v>300</v>
      </c>
      <c r="C126" s="36">
        <v>30.0</v>
      </c>
      <c r="D126" s="37">
        <f t="shared" si="20"/>
        <v>300</v>
      </c>
      <c r="E126" s="44"/>
      <c r="F126" s="41"/>
      <c r="G126" s="40"/>
      <c r="H126" s="40"/>
      <c r="I126" s="41"/>
      <c r="J126" s="40"/>
      <c r="K126" s="44"/>
      <c r="L126" s="41"/>
      <c r="M126" s="41"/>
      <c r="N126" s="37">
        <f t="shared" si="21"/>
        <v>0</v>
      </c>
      <c r="O126" s="40"/>
      <c r="P126" s="40"/>
      <c r="Q126" s="67">
        <v>7.0</v>
      </c>
      <c r="R126" s="42">
        <f t="shared" si="22"/>
        <v>7</v>
      </c>
      <c r="S126" s="45">
        <f t="shared" si="23"/>
        <v>307</v>
      </c>
      <c r="T126" s="33">
        <f t="shared" si="24"/>
        <v>1</v>
      </c>
      <c r="U126" s="1">
        <v>0.0</v>
      </c>
      <c r="V126" s="3"/>
      <c r="W126" s="3"/>
      <c r="X126" s="3"/>
      <c r="Y126" s="3"/>
      <c r="Z126" s="3"/>
    </row>
    <row r="127">
      <c r="A127" s="102" t="s">
        <v>242</v>
      </c>
      <c r="B127" s="24">
        <f t="shared" si="19"/>
        <v>300</v>
      </c>
      <c r="C127" s="36">
        <v>30.0</v>
      </c>
      <c r="D127" s="37">
        <f t="shared" si="20"/>
        <v>300</v>
      </c>
      <c r="E127" s="41"/>
      <c r="F127" s="44"/>
      <c r="G127" s="40"/>
      <c r="H127" s="40"/>
      <c r="I127" s="41">
        <v>0.5</v>
      </c>
      <c r="J127" s="40"/>
      <c r="K127" s="44"/>
      <c r="L127" s="41"/>
      <c r="M127" s="41"/>
      <c r="N127" s="37">
        <f t="shared" si="21"/>
        <v>0.5</v>
      </c>
      <c r="O127" s="40"/>
      <c r="P127" s="40"/>
      <c r="Q127" s="46">
        <v>2.0</v>
      </c>
      <c r="R127" s="42">
        <f t="shared" si="22"/>
        <v>2</v>
      </c>
      <c r="S127" s="45">
        <f t="shared" si="23"/>
        <v>301.5</v>
      </c>
      <c r="T127" s="33">
        <f t="shared" si="24"/>
        <v>4</v>
      </c>
      <c r="U127" s="34">
        <v>0.0</v>
      </c>
      <c r="V127" s="3"/>
      <c r="W127" s="3"/>
      <c r="X127" s="3"/>
      <c r="Y127" s="3"/>
      <c r="Z127" s="3"/>
    </row>
    <row r="128">
      <c r="A128" s="102" t="s">
        <v>243</v>
      </c>
      <c r="B128" s="24">
        <f t="shared" si="19"/>
        <v>300</v>
      </c>
      <c r="C128" s="36">
        <v>30.0</v>
      </c>
      <c r="D128" s="37">
        <f t="shared" si="20"/>
        <v>300</v>
      </c>
      <c r="E128" s="44"/>
      <c r="F128" s="44"/>
      <c r="G128" s="40"/>
      <c r="H128" s="40"/>
      <c r="I128" s="41">
        <v>1.0</v>
      </c>
      <c r="J128" s="40"/>
      <c r="K128" s="44"/>
      <c r="L128" s="44"/>
      <c r="M128" s="41"/>
      <c r="N128" s="37">
        <f t="shared" si="21"/>
        <v>1</v>
      </c>
      <c r="O128" s="40"/>
      <c r="P128" s="40"/>
      <c r="Q128" s="67">
        <v>2.0</v>
      </c>
      <c r="R128" s="42">
        <f t="shared" si="22"/>
        <v>2</v>
      </c>
      <c r="S128" s="45">
        <f t="shared" si="23"/>
        <v>301</v>
      </c>
      <c r="T128" s="33">
        <f t="shared" si="24"/>
        <v>6</v>
      </c>
      <c r="U128" s="34">
        <v>0.0</v>
      </c>
      <c r="V128" s="3"/>
      <c r="W128" s="3"/>
      <c r="X128" s="3"/>
      <c r="Y128" s="3"/>
      <c r="Z128" s="3"/>
    </row>
    <row r="129">
      <c r="A129" s="102" t="s">
        <v>244</v>
      </c>
      <c r="B129" s="24">
        <f t="shared" si="19"/>
        <v>300</v>
      </c>
      <c r="C129" s="36">
        <v>30.0</v>
      </c>
      <c r="D129" s="37">
        <f t="shared" si="20"/>
        <v>300</v>
      </c>
      <c r="E129" s="41">
        <v>3.0</v>
      </c>
      <c r="F129" s="41"/>
      <c r="G129" s="40"/>
      <c r="H129" s="40"/>
      <c r="I129" s="41">
        <v>2.0</v>
      </c>
      <c r="J129" s="40"/>
      <c r="K129" s="44"/>
      <c r="L129" s="41"/>
      <c r="M129" s="41"/>
      <c r="N129" s="37">
        <f t="shared" si="21"/>
        <v>5</v>
      </c>
      <c r="O129" s="40"/>
      <c r="P129" s="40"/>
      <c r="Q129" s="67">
        <v>2.0</v>
      </c>
      <c r="R129" s="42">
        <f t="shared" si="22"/>
        <v>2</v>
      </c>
      <c r="S129" s="45">
        <f t="shared" si="23"/>
        <v>297</v>
      </c>
      <c r="T129" s="33">
        <f t="shared" si="24"/>
        <v>14</v>
      </c>
      <c r="U129" s="1">
        <v>0.0</v>
      </c>
      <c r="V129" s="3"/>
      <c r="W129" s="3"/>
      <c r="X129" s="3"/>
      <c r="Y129" s="3"/>
      <c r="Z129" s="3"/>
    </row>
    <row r="130">
      <c r="A130" s="102" t="s">
        <v>245</v>
      </c>
      <c r="B130" s="24">
        <f t="shared" si="19"/>
        <v>300</v>
      </c>
      <c r="C130" s="36">
        <v>30.0</v>
      </c>
      <c r="D130" s="37">
        <f t="shared" si="20"/>
        <v>300</v>
      </c>
      <c r="E130" s="41"/>
      <c r="F130" s="41"/>
      <c r="G130" s="40"/>
      <c r="H130" s="40"/>
      <c r="I130" s="41">
        <v>1.5</v>
      </c>
      <c r="J130" s="38"/>
      <c r="K130" s="44"/>
      <c r="L130" s="41"/>
      <c r="M130" s="44"/>
      <c r="N130" s="37">
        <f t="shared" si="21"/>
        <v>1.5</v>
      </c>
      <c r="O130" s="40"/>
      <c r="P130" s="40"/>
      <c r="Q130" s="67">
        <v>2.0</v>
      </c>
      <c r="R130" s="42">
        <f t="shared" si="22"/>
        <v>2</v>
      </c>
      <c r="S130" s="45">
        <f t="shared" si="23"/>
        <v>300.5</v>
      </c>
      <c r="T130" s="33">
        <f t="shared" si="24"/>
        <v>8</v>
      </c>
      <c r="U130" s="34">
        <v>0.0</v>
      </c>
      <c r="V130" s="3"/>
      <c r="W130" s="3"/>
      <c r="X130" s="3"/>
      <c r="Y130" s="3"/>
      <c r="Z130" s="3"/>
    </row>
    <row r="131">
      <c r="A131" s="102" t="s">
        <v>246</v>
      </c>
      <c r="B131" s="24">
        <f t="shared" si="19"/>
        <v>300</v>
      </c>
      <c r="C131" s="36">
        <v>30.0</v>
      </c>
      <c r="D131" s="37">
        <f t="shared" si="20"/>
        <v>300</v>
      </c>
      <c r="E131" s="41"/>
      <c r="F131" s="41"/>
      <c r="G131" s="40"/>
      <c r="H131" s="40"/>
      <c r="I131" s="41">
        <v>2.5</v>
      </c>
      <c r="J131" s="40"/>
      <c r="K131" s="44"/>
      <c r="L131" s="41"/>
      <c r="M131" s="61"/>
      <c r="N131" s="37">
        <f t="shared" si="21"/>
        <v>2.5</v>
      </c>
      <c r="O131" s="40"/>
      <c r="P131" s="40"/>
      <c r="Q131" s="67">
        <v>2.0</v>
      </c>
      <c r="R131" s="42">
        <f t="shared" si="22"/>
        <v>2</v>
      </c>
      <c r="S131" s="47">
        <f t="shared" si="23"/>
        <v>299.5</v>
      </c>
      <c r="T131" s="33">
        <f t="shared" si="24"/>
        <v>12</v>
      </c>
      <c r="U131" s="34">
        <v>0.0</v>
      </c>
      <c r="V131" s="3"/>
      <c r="W131" s="3"/>
      <c r="X131" s="3"/>
      <c r="Y131" s="3"/>
      <c r="Z131" s="3"/>
    </row>
    <row r="132">
      <c r="A132" s="102" t="s">
        <v>247</v>
      </c>
      <c r="B132" s="24">
        <f t="shared" si="19"/>
        <v>300</v>
      </c>
      <c r="C132" s="36">
        <v>30.0</v>
      </c>
      <c r="D132" s="37">
        <f t="shared" si="20"/>
        <v>300</v>
      </c>
      <c r="E132" s="41"/>
      <c r="F132" s="41"/>
      <c r="G132" s="40"/>
      <c r="H132" s="40"/>
      <c r="I132" s="41">
        <v>1.5</v>
      </c>
      <c r="J132" s="38"/>
      <c r="K132" s="44"/>
      <c r="L132" s="41"/>
      <c r="M132" s="41"/>
      <c r="N132" s="37">
        <f t="shared" si="21"/>
        <v>1.5</v>
      </c>
      <c r="O132" s="40"/>
      <c r="P132" s="40"/>
      <c r="Q132" s="67">
        <v>2.0</v>
      </c>
      <c r="R132" s="42">
        <f t="shared" si="22"/>
        <v>2</v>
      </c>
      <c r="S132" s="47">
        <f t="shared" si="23"/>
        <v>300.5</v>
      </c>
      <c r="T132" s="33">
        <f t="shared" si="24"/>
        <v>8</v>
      </c>
      <c r="U132" s="1">
        <v>0.0</v>
      </c>
      <c r="V132" s="3"/>
      <c r="W132" s="3"/>
      <c r="X132" s="3"/>
      <c r="Y132" s="3"/>
      <c r="Z132" s="3"/>
    </row>
    <row r="133">
      <c r="A133" s="102" t="s">
        <v>248</v>
      </c>
      <c r="B133" s="24">
        <f t="shared" si="19"/>
        <v>300</v>
      </c>
      <c r="C133" s="36">
        <v>30.0</v>
      </c>
      <c r="D133" s="37">
        <f t="shared" si="20"/>
        <v>300</v>
      </c>
      <c r="E133" s="44"/>
      <c r="F133" s="41"/>
      <c r="G133" s="40"/>
      <c r="H133" s="40"/>
      <c r="I133" s="41"/>
      <c r="J133" s="40"/>
      <c r="K133" s="44"/>
      <c r="L133" s="44"/>
      <c r="M133" s="41"/>
      <c r="N133" s="37">
        <f t="shared" si="21"/>
        <v>0</v>
      </c>
      <c r="O133" s="40"/>
      <c r="P133" s="40"/>
      <c r="Q133" s="46">
        <v>2.0</v>
      </c>
      <c r="R133" s="42">
        <f t="shared" si="22"/>
        <v>2</v>
      </c>
      <c r="S133" s="43">
        <f t="shared" si="23"/>
        <v>302</v>
      </c>
      <c r="T133" s="33">
        <f t="shared" si="24"/>
        <v>2</v>
      </c>
      <c r="U133" s="34">
        <v>0.0</v>
      </c>
      <c r="V133" s="3"/>
      <c r="W133" s="3"/>
      <c r="X133" s="3"/>
      <c r="Y133" s="3"/>
      <c r="Z133" s="3"/>
    </row>
    <row r="134">
      <c r="A134" s="102" t="s">
        <v>249</v>
      </c>
      <c r="B134" s="24">
        <f t="shared" si="19"/>
        <v>299</v>
      </c>
      <c r="C134" s="36">
        <v>30.0</v>
      </c>
      <c r="D134" s="37">
        <f t="shared" si="20"/>
        <v>299</v>
      </c>
      <c r="E134" s="44"/>
      <c r="F134" s="41">
        <v>0.5</v>
      </c>
      <c r="G134" s="40"/>
      <c r="H134" s="40"/>
      <c r="I134" s="41"/>
      <c r="J134" s="40"/>
      <c r="K134" s="44"/>
      <c r="L134" s="41"/>
      <c r="M134" s="41"/>
      <c r="N134" s="37">
        <f t="shared" si="21"/>
        <v>0.5</v>
      </c>
      <c r="O134" s="40"/>
      <c r="P134" s="40"/>
      <c r="Q134" s="67">
        <v>2.0</v>
      </c>
      <c r="R134" s="42">
        <f t="shared" si="22"/>
        <v>2</v>
      </c>
      <c r="S134" s="45">
        <f t="shared" si="23"/>
        <v>300.5</v>
      </c>
      <c r="T134" s="33">
        <f t="shared" si="24"/>
        <v>8</v>
      </c>
      <c r="U134" s="1">
        <v>1.0</v>
      </c>
      <c r="V134" s="3"/>
      <c r="W134" s="3"/>
      <c r="X134" s="3"/>
      <c r="Y134" s="3"/>
      <c r="Z134" s="3"/>
    </row>
    <row r="135">
      <c r="A135" s="102" t="s">
        <v>250</v>
      </c>
      <c r="B135" s="24">
        <f t="shared" si="19"/>
        <v>300</v>
      </c>
      <c r="C135" s="36">
        <v>30.0</v>
      </c>
      <c r="D135" s="37">
        <f t="shared" si="20"/>
        <v>300</v>
      </c>
      <c r="E135" s="41"/>
      <c r="F135" s="44"/>
      <c r="G135" s="40"/>
      <c r="H135" s="40"/>
      <c r="I135" s="41">
        <v>1.5</v>
      </c>
      <c r="J135" s="40"/>
      <c r="K135" s="44"/>
      <c r="L135" s="41"/>
      <c r="M135" s="41"/>
      <c r="N135" s="37">
        <f t="shared" si="21"/>
        <v>1.5</v>
      </c>
      <c r="O135" s="40"/>
      <c r="P135" s="40"/>
      <c r="Q135" s="67">
        <v>2.5</v>
      </c>
      <c r="R135" s="42">
        <f t="shared" si="22"/>
        <v>2.5</v>
      </c>
      <c r="S135" s="45">
        <f t="shared" si="23"/>
        <v>301</v>
      </c>
      <c r="T135" s="33">
        <f t="shared" si="24"/>
        <v>6</v>
      </c>
      <c r="U135" s="34">
        <v>0.0</v>
      </c>
      <c r="V135" s="3"/>
      <c r="W135" s="3"/>
      <c r="X135" s="3"/>
      <c r="Y135" s="3"/>
      <c r="Z135" s="3"/>
    </row>
    <row r="136">
      <c r="A136" s="102" t="s">
        <v>251</v>
      </c>
      <c r="B136" s="24">
        <f t="shared" si="19"/>
        <v>300</v>
      </c>
      <c r="C136" s="36">
        <v>30.0</v>
      </c>
      <c r="D136" s="37">
        <f t="shared" si="20"/>
        <v>300</v>
      </c>
      <c r="E136" s="44"/>
      <c r="F136" s="41">
        <v>0.5</v>
      </c>
      <c r="G136" s="40"/>
      <c r="H136" s="40"/>
      <c r="I136" s="41"/>
      <c r="J136" s="40"/>
      <c r="K136" s="41">
        <v>1.0</v>
      </c>
      <c r="L136" s="41"/>
      <c r="M136" s="41">
        <v>0.5</v>
      </c>
      <c r="N136" s="37">
        <f t="shared" si="21"/>
        <v>2</v>
      </c>
      <c r="O136" s="40"/>
      <c r="P136" s="40"/>
      <c r="Q136" s="67">
        <v>3.5</v>
      </c>
      <c r="R136" s="42">
        <f t="shared" si="22"/>
        <v>3.5</v>
      </c>
      <c r="S136" s="47">
        <f t="shared" si="23"/>
        <v>301.5</v>
      </c>
      <c r="T136" s="33">
        <f t="shared" si="24"/>
        <v>4</v>
      </c>
      <c r="U136" s="34">
        <v>0.0</v>
      </c>
      <c r="V136" s="3"/>
      <c r="W136" s="3"/>
      <c r="X136" s="3"/>
      <c r="Y136" s="3"/>
      <c r="Z136" s="3"/>
    </row>
    <row r="137">
      <c r="A137" s="103" t="s">
        <v>252</v>
      </c>
      <c r="B137" s="49">
        <f t="shared" si="19"/>
        <v>300</v>
      </c>
      <c r="C137" s="50">
        <v>30.0</v>
      </c>
      <c r="D137" s="51">
        <f t="shared" si="20"/>
        <v>300</v>
      </c>
      <c r="E137" s="74">
        <v>1.5</v>
      </c>
      <c r="F137" s="74"/>
      <c r="G137" s="53"/>
      <c r="H137" s="53"/>
      <c r="I137" s="74">
        <v>1.5</v>
      </c>
      <c r="J137" s="52"/>
      <c r="K137" s="54"/>
      <c r="L137" s="74"/>
      <c r="M137" s="74">
        <v>0.5</v>
      </c>
      <c r="N137" s="51">
        <f t="shared" si="21"/>
        <v>3.5</v>
      </c>
      <c r="O137" s="53"/>
      <c r="P137" s="53"/>
      <c r="Q137" s="69">
        <v>2.0</v>
      </c>
      <c r="R137" s="56">
        <f t="shared" si="22"/>
        <v>2</v>
      </c>
      <c r="S137" s="57">
        <f t="shared" si="23"/>
        <v>298.5</v>
      </c>
      <c r="T137" s="58">
        <f t="shared" si="24"/>
        <v>13</v>
      </c>
      <c r="U137" s="34">
        <v>0.0</v>
      </c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104"/>
      <c r="F138" s="104"/>
      <c r="G138" s="3"/>
      <c r="H138" s="3"/>
      <c r="I138" s="104"/>
      <c r="J138" s="3"/>
      <c r="K138" s="104"/>
      <c r="L138" s="104"/>
      <c r="M138" s="61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63"/>
      <c r="B139" s="63" t="s">
        <v>37</v>
      </c>
      <c r="C139" s="3"/>
      <c r="D139" s="3"/>
      <c r="E139" s="104"/>
      <c r="F139" s="104"/>
      <c r="G139" s="3"/>
      <c r="H139" s="3"/>
      <c r="I139" s="108"/>
      <c r="J139" s="62" t="s">
        <v>310</v>
      </c>
      <c r="K139" s="104"/>
      <c r="L139" s="104"/>
      <c r="M139" s="71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65" t="s">
        <v>311</v>
      </c>
      <c r="C140" s="3"/>
      <c r="D140" s="3"/>
      <c r="E140" s="104"/>
      <c r="F140" s="104"/>
      <c r="G140" s="3"/>
      <c r="H140" s="3"/>
      <c r="I140" s="108"/>
      <c r="J140" s="3"/>
      <c r="K140" s="104"/>
      <c r="L140" s="106"/>
      <c r="M140" s="72"/>
      <c r="N140" s="92" t="s">
        <v>97</v>
      </c>
      <c r="O140" s="76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65" t="s">
        <v>312</v>
      </c>
      <c r="C141" s="3"/>
      <c r="D141" s="3"/>
      <c r="E141" s="104"/>
      <c r="F141" s="104"/>
      <c r="G141" s="3"/>
      <c r="H141" s="3"/>
      <c r="I141" s="104"/>
      <c r="J141" s="3"/>
      <c r="K141" s="105"/>
      <c r="L141" s="106"/>
      <c r="M141" s="71"/>
      <c r="N141" s="64" t="s">
        <v>313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65" t="s">
        <v>314</v>
      </c>
      <c r="C142" s="3"/>
      <c r="D142" s="3"/>
      <c r="E142" s="104"/>
      <c r="F142" s="104"/>
      <c r="G142" s="3"/>
      <c r="H142" s="3"/>
      <c r="I142" s="104"/>
      <c r="J142" s="3"/>
      <c r="K142" s="105"/>
      <c r="L142" s="106"/>
      <c r="M142" s="71"/>
      <c r="N142" s="92" t="s">
        <v>108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65" t="s">
        <v>315</v>
      </c>
      <c r="C143" s="3"/>
      <c r="D143" s="3"/>
      <c r="E143" s="104"/>
      <c r="F143" s="104"/>
      <c r="G143" s="3"/>
      <c r="H143" s="3"/>
      <c r="I143" s="104"/>
      <c r="J143" s="3"/>
      <c r="K143" s="104"/>
      <c r="L143" s="104"/>
      <c r="M143" s="72"/>
      <c r="N143" s="64" t="s">
        <v>316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65" t="s">
        <v>317</v>
      </c>
      <c r="C144" s="3"/>
      <c r="D144" s="3"/>
      <c r="E144" s="104"/>
      <c r="F144" s="104"/>
      <c r="G144" s="3"/>
      <c r="H144" s="3"/>
      <c r="I144" s="104"/>
      <c r="J144" s="3"/>
      <c r="K144" s="104"/>
      <c r="L144" s="104"/>
      <c r="M144" s="72"/>
      <c r="N144" s="109" t="s">
        <v>318</v>
      </c>
      <c r="O144" s="59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65" t="s">
        <v>319</v>
      </c>
      <c r="C145" s="3"/>
      <c r="D145" s="3"/>
      <c r="E145" s="104"/>
      <c r="F145" s="104"/>
      <c r="G145" s="3"/>
      <c r="H145" s="3"/>
      <c r="I145" s="104"/>
      <c r="J145" s="3"/>
      <c r="K145" s="104"/>
      <c r="L145" s="104"/>
      <c r="M145" s="61"/>
      <c r="N145" s="110" t="s">
        <v>320</v>
      </c>
      <c r="O145" s="59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65" t="s">
        <v>321</v>
      </c>
      <c r="C146" s="3"/>
      <c r="D146" s="3"/>
      <c r="E146" s="104"/>
      <c r="F146" s="104"/>
      <c r="G146" s="3"/>
      <c r="H146" s="3"/>
      <c r="I146" s="104"/>
      <c r="J146" s="3"/>
      <c r="K146" s="104"/>
      <c r="L146" s="104"/>
      <c r="M146" s="71"/>
      <c r="N146" s="110" t="s">
        <v>322</v>
      </c>
      <c r="O146" s="7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65" t="s">
        <v>323</v>
      </c>
      <c r="C147" s="3"/>
      <c r="D147" s="3"/>
      <c r="E147" s="104"/>
      <c r="F147" s="104"/>
      <c r="G147" s="3"/>
      <c r="H147" s="3"/>
      <c r="I147" s="104"/>
      <c r="J147" s="3"/>
      <c r="K147" s="104"/>
      <c r="L147" s="104"/>
      <c r="M147" s="72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65" t="s">
        <v>324</v>
      </c>
      <c r="C148" s="3"/>
      <c r="D148" s="3"/>
      <c r="E148" s="104"/>
      <c r="F148" s="104"/>
      <c r="G148" s="3"/>
      <c r="H148" s="3"/>
      <c r="I148" s="104"/>
      <c r="J148" s="3"/>
      <c r="K148" s="104"/>
      <c r="L148" s="104"/>
      <c r="M148" s="72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65" t="s">
        <v>325</v>
      </c>
      <c r="C149" s="3"/>
      <c r="D149" s="3"/>
      <c r="E149" s="104"/>
      <c r="F149" s="104"/>
      <c r="G149" s="3"/>
      <c r="H149" s="3"/>
      <c r="I149" s="104"/>
      <c r="J149" s="3"/>
      <c r="K149" s="104"/>
      <c r="L149" s="104"/>
      <c r="M149" s="61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65" t="s">
        <v>326</v>
      </c>
      <c r="C150" s="3"/>
      <c r="D150" s="3"/>
      <c r="E150" s="104"/>
      <c r="F150" s="104"/>
      <c r="G150" s="3"/>
      <c r="H150" s="3"/>
      <c r="I150" s="104"/>
      <c r="J150" s="3"/>
      <c r="K150" s="104"/>
      <c r="L150" s="104"/>
      <c r="M150" s="72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104"/>
      <c r="F151" s="104"/>
      <c r="G151" s="3"/>
      <c r="H151" s="3"/>
      <c r="I151" s="104"/>
      <c r="J151" s="3"/>
      <c r="K151" s="104"/>
      <c r="L151" s="104"/>
      <c r="M151" s="61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104"/>
      <c r="F152" s="104"/>
      <c r="G152" s="3"/>
      <c r="H152" s="3"/>
      <c r="I152" s="104"/>
      <c r="J152" s="3"/>
      <c r="K152" s="104"/>
      <c r="L152" s="104"/>
      <c r="M152" s="61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104"/>
      <c r="F153" s="104"/>
      <c r="G153" s="3"/>
      <c r="H153" s="3"/>
      <c r="I153" s="104"/>
      <c r="J153" s="3"/>
      <c r="K153" s="104"/>
      <c r="L153" s="104"/>
      <c r="M153" s="61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" t="s">
        <v>327</v>
      </c>
      <c r="U154" s="3"/>
      <c r="V154" s="3"/>
      <c r="W154" s="3"/>
      <c r="X154" s="3"/>
      <c r="Y154" s="3"/>
      <c r="Z154" s="3"/>
    </row>
    <row r="155">
      <c r="A155" s="1" t="s">
        <v>104</v>
      </c>
      <c r="U155" s="3"/>
      <c r="V155" s="3"/>
      <c r="W155" s="3"/>
      <c r="X155" s="3"/>
      <c r="Y155" s="3"/>
      <c r="Z155" s="3"/>
    </row>
    <row r="156">
      <c r="A156" s="2"/>
      <c r="B156" s="4"/>
      <c r="C156" s="2"/>
      <c r="D156" s="2"/>
      <c r="E156" s="98"/>
      <c r="F156" s="98"/>
      <c r="G156" s="2"/>
      <c r="H156" s="2"/>
      <c r="I156" s="98"/>
      <c r="J156" s="2"/>
      <c r="K156" s="98"/>
      <c r="L156" s="98"/>
      <c r="M156" s="7"/>
      <c r="N156" s="2"/>
      <c r="O156" s="2"/>
      <c r="P156" s="2"/>
      <c r="Q156" s="2"/>
      <c r="R156" s="2"/>
      <c r="S156" s="2"/>
      <c r="T156" s="2"/>
      <c r="U156" s="3"/>
      <c r="V156" s="3"/>
      <c r="W156" s="3"/>
      <c r="X156" s="3"/>
      <c r="Y156" s="3"/>
      <c r="Z156" s="3"/>
    </row>
    <row r="157">
      <c r="A157" s="8" t="s">
        <v>2</v>
      </c>
      <c r="B157" s="9" t="s">
        <v>3</v>
      </c>
      <c r="C157" s="10"/>
      <c r="D157" s="11"/>
      <c r="E157" s="99" t="s">
        <v>4</v>
      </c>
      <c r="F157" s="10"/>
      <c r="G157" s="10"/>
      <c r="H157" s="10"/>
      <c r="I157" s="10"/>
      <c r="J157" s="10"/>
      <c r="K157" s="10"/>
      <c r="L157" s="10"/>
      <c r="M157" s="10"/>
      <c r="N157" s="11"/>
      <c r="O157" s="13" t="s">
        <v>5</v>
      </c>
      <c r="P157" s="10"/>
      <c r="Q157" s="10"/>
      <c r="R157" s="11"/>
      <c r="S157" s="14" t="s">
        <v>6</v>
      </c>
      <c r="T157" s="14" t="s">
        <v>7</v>
      </c>
      <c r="U157" s="3"/>
      <c r="V157" s="3"/>
      <c r="W157" s="3"/>
      <c r="X157" s="3"/>
      <c r="Y157" s="3"/>
      <c r="Z157" s="3"/>
    </row>
    <row r="158">
      <c r="A158" s="15"/>
      <c r="B158" s="16" t="s">
        <v>8</v>
      </c>
      <c r="C158" s="17" t="s">
        <v>9</v>
      </c>
      <c r="D158" s="14" t="s">
        <v>10</v>
      </c>
      <c r="E158" s="18" t="s">
        <v>11</v>
      </c>
      <c r="F158" s="18" t="s">
        <v>12</v>
      </c>
      <c r="G158" s="17" t="s">
        <v>13</v>
      </c>
      <c r="H158" s="17" t="s">
        <v>14</v>
      </c>
      <c r="I158" s="18" t="s">
        <v>15</v>
      </c>
      <c r="J158" s="17" t="s">
        <v>16</v>
      </c>
      <c r="K158" s="18" t="s">
        <v>17</v>
      </c>
      <c r="L158" s="18" t="s">
        <v>18</v>
      </c>
      <c r="M158" s="18" t="s">
        <v>19</v>
      </c>
      <c r="N158" s="14" t="s">
        <v>20</v>
      </c>
      <c r="O158" s="17" t="s">
        <v>21</v>
      </c>
      <c r="P158" s="17" t="s">
        <v>22</v>
      </c>
      <c r="Q158" s="17" t="s">
        <v>23</v>
      </c>
      <c r="R158" s="14" t="s">
        <v>24</v>
      </c>
      <c r="S158" s="19"/>
      <c r="T158" s="19"/>
      <c r="U158" s="3"/>
      <c r="V158" s="3"/>
      <c r="W158" s="3"/>
      <c r="X158" s="3"/>
      <c r="Y158" s="3"/>
      <c r="Z158" s="3"/>
    </row>
    <row r="159">
      <c r="A159" s="20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3"/>
      <c r="V159" s="3"/>
      <c r="W159" s="3"/>
      <c r="X159" s="3"/>
      <c r="Y159" s="3"/>
      <c r="Z159" s="3"/>
    </row>
    <row r="160">
      <c r="A160" s="100">
        <v>11.0</v>
      </c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3"/>
      <c r="V160" s="3"/>
      <c r="W160" s="3"/>
      <c r="X160" s="3"/>
      <c r="Y160" s="3"/>
      <c r="Z160" s="3"/>
    </row>
    <row r="161">
      <c r="A161" s="101" t="s">
        <v>239</v>
      </c>
      <c r="B161" s="24">
        <f t="shared" ref="B161:B174" si="25">300-U161</f>
        <v>300</v>
      </c>
      <c r="C161" s="25">
        <v>30.0</v>
      </c>
      <c r="D161" s="26">
        <f t="shared" ref="D161:D174" si="26">B161</f>
        <v>300</v>
      </c>
      <c r="E161" s="30"/>
      <c r="F161" s="73"/>
      <c r="G161" s="29"/>
      <c r="H161" s="29"/>
      <c r="I161" s="73"/>
      <c r="J161" s="29"/>
      <c r="K161" s="30"/>
      <c r="L161" s="30"/>
      <c r="M161" s="73"/>
      <c r="N161" s="26">
        <f t="shared" ref="N161:N174" si="27">SUM(E161:M161)</f>
        <v>0</v>
      </c>
      <c r="O161" s="29"/>
      <c r="P161" s="29"/>
      <c r="Q161" s="83">
        <v>1.0</v>
      </c>
      <c r="R161" s="31">
        <f t="shared" ref="R161:R174" si="28">SUM(O161:Q161)</f>
        <v>1</v>
      </c>
      <c r="S161" s="32">
        <f t="shared" ref="S161:S174" si="29">D161-N161+R161</f>
        <v>301</v>
      </c>
      <c r="T161" s="33">
        <f t="shared" ref="T161:T174" si="30">RANK(S161,$S$161:$S$174,0)</f>
        <v>1</v>
      </c>
      <c r="U161" s="3"/>
      <c r="V161" s="3"/>
      <c r="W161" s="3"/>
      <c r="X161" s="3"/>
      <c r="Y161" s="3"/>
      <c r="Z161" s="3"/>
    </row>
    <row r="162">
      <c r="A162" s="102" t="s">
        <v>240</v>
      </c>
      <c r="B162" s="24">
        <f t="shared" si="25"/>
        <v>300</v>
      </c>
      <c r="C162" s="36">
        <v>30.0</v>
      </c>
      <c r="D162" s="37">
        <f t="shared" si="26"/>
        <v>300</v>
      </c>
      <c r="E162" s="41">
        <v>1.5</v>
      </c>
      <c r="F162" s="41"/>
      <c r="G162" s="40"/>
      <c r="H162" s="40"/>
      <c r="I162" s="41">
        <v>0.5</v>
      </c>
      <c r="J162" s="40"/>
      <c r="K162" s="44"/>
      <c r="L162" s="41">
        <v>0.5</v>
      </c>
      <c r="M162" s="41"/>
      <c r="N162" s="37">
        <f t="shared" si="27"/>
        <v>2.5</v>
      </c>
      <c r="O162" s="40"/>
      <c r="P162" s="40"/>
      <c r="Q162" s="67">
        <v>1.0</v>
      </c>
      <c r="R162" s="42">
        <f t="shared" si="28"/>
        <v>1</v>
      </c>
      <c r="S162" s="43">
        <f t="shared" si="29"/>
        <v>298.5</v>
      </c>
      <c r="T162" s="33">
        <f t="shared" si="30"/>
        <v>10</v>
      </c>
      <c r="U162" s="3"/>
      <c r="V162" s="3"/>
      <c r="W162" s="3"/>
      <c r="X162" s="3"/>
      <c r="Y162" s="3"/>
      <c r="Z162" s="3"/>
    </row>
    <row r="163">
      <c r="A163" s="102" t="s">
        <v>241</v>
      </c>
      <c r="B163" s="24">
        <f t="shared" si="25"/>
        <v>300</v>
      </c>
      <c r="C163" s="36">
        <v>30.0</v>
      </c>
      <c r="D163" s="37">
        <f t="shared" si="26"/>
        <v>300</v>
      </c>
      <c r="E163" s="41">
        <v>1.5</v>
      </c>
      <c r="F163" s="41">
        <v>1.0</v>
      </c>
      <c r="G163" s="40"/>
      <c r="H163" s="40"/>
      <c r="I163" s="41"/>
      <c r="J163" s="40"/>
      <c r="K163" s="44"/>
      <c r="L163" s="41"/>
      <c r="M163" s="41"/>
      <c r="N163" s="37">
        <f t="shared" si="27"/>
        <v>2.5</v>
      </c>
      <c r="O163" s="40"/>
      <c r="P163" s="40"/>
      <c r="Q163" s="67">
        <v>1.0</v>
      </c>
      <c r="R163" s="42">
        <f t="shared" si="28"/>
        <v>1</v>
      </c>
      <c r="S163" s="45">
        <f t="shared" si="29"/>
        <v>298.5</v>
      </c>
      <c r="T163" s="33">
        <f t="shared" si="30"/>
        <v>10</v>
      </c>
      <c r="U163" s="3"/>
      <c r="V163" s="3"/>
      <c r="W163" s="3"/>
      <c r="X163" s="3"/>
      <c r="Y163" s="3"/>
      <c r="Z163" s="3"/>
    </row>
    <row r="164">
      <c r="A164" s="102" t="s">
        <v>242</v>
      </c>
      <c r="B164" s="24">
        <f t="shared" si="25"/>
        <v>300</v>
      </c>
      <c r="C164" s="36">
        <v>30.0</v>
      </c>
      <c r="D164" s="37">
        <f t="shared" si="26"/>
        <v>300</v>
      </c>
      <c r="E164" s="41">
        <v>1.5</v>
      </c>
      <c r="F164" s="41">
        <v>0.5</v>
      </c>
      <c r="G164" s="40"/>
      <c r="H164" s="40"/>
      <c r="I164" s="41"/>
      <c r="J164" s="40"/>
      <c r="K164" s="44"/>
      <c r="L164" s="41"/>
      <c r="M164" s="41"/>
      <c r="N164" s="37">
        <f t="shared" si="27"/>
        <v>2</v>
      </c>
      <c r="O164" s="40"/>
      <c r="P164" s="40"/>
      <c r="Q164" s="46"/>
      <c r="R164" s="42">
        <f t="shared" si="28"/>
        <v>0</v>
      </c>
      <c r="S164" s="45">
        <f t="shared" si="29"/>
        <v>298</v>
      </c>
      <c r="T164" s="33">
        <f t="shared" si="30"/>
        <v>12</v>
      </c>
      <c r="U164" s="3"/>
      <c r="V164" s="3"/>
      <c r="W164" s="3"/>
      <c r="X164" s="3"/>
      <c r="Y164" s="3"/>
      <c r="Z164" s="3"/>
    </row>
    <row r="165">
      <c r="A165" s="102" t="s">
        <v>243</v>
      </c>
      <c r="B165" s="24">
        <f t="shared" si="25"/>
        <v>300</v>
      </c>
      <c r="C165" s="36">
        <v>30.0</v>
      </c>
      <c r="D165" s="37">
        <f t="shared" si="26"/>
        <v>300</v>
      </c>
      <c r="E165" s="44"/>
      <c r="F165" s="44"/>
      <c r="G165" s="40"/>
      <c r="H165" s="40"/>
      <c r="I165" s="41"/>
      <c r="J165" s="40"/>
      <c r="K165" s="44"/>
      <c r="L165" s="44"/>
      <c r="M165" s="41"/>
      <c r="N165" s="37">
        <f t="shared" si="27"/>
        <v>0</v>
      </c>
      <c r="O165" s="40"/>
      <c r="P165" s="40"/>
      <c r="Q165" s="67">
        <v>1.0</v>
      </c>
      <c r="R165" s="42">
        <f t="shared" si="28"/>
        <v>1</v>
      </c>
      <c r="S165" s="45">
        <f t="shared" si="29"/>
        <v>301</v>
      </c>
      <c r="T165" s="33">
        <f t="shared" si="30"/>
        <v>1</v>
      </c>
      <c r="U165" s="3"/>
      <c r="V165" s="3"/>
      <c r="W165" s="3"/>
      <c r="X165" s="3"/>
      <c r="Y165" s="3"/>
      <c r="Z165" s="3"/>
    </row>
    <row r="166">
      <c r="A166" s="102" t="s">
        <v>244</v>
      </c>
      <c r="B166" s="24">
        <f t="shared" si="25"/>
        <v>298</v>
      </c>
      <c r="C166" s="36">
        <v>30.0</v>
      </c>
      <c r="D166" s="37">
        <f t="shared" si="26"/>
        <v>298</v>
      </c>
      <c r="E166" s="41">
        <v>3.0</v>
      </c>
      <c r="F166" s="41"/>
      <c r="G166" s="40"/>
      <c r="H166" s="40"/>
      <c r="I166" s="41">
        <v>0.5</v>
      </c>
      <c r="J166" s="40"/>
      <c r="K166" s="41">
        <v>0.5</v>
      </c>
      <c r="L166" s="41"/>
      <c r="M166" s="41">
        <v>4.5</v>
      </c>
      <c r="N166" s="37">
        <f t="shared" si="27"/>
        <v>8.5</v>
      </c>
      <c r="O166" s="40"/>
      <c r="P166" s="40"/>
      <c r="Q166" s="67"/>
      <c r="R166" s="42">
        <f t="shared" si="28"/>
        <v>0</v>
      </c>
      <c r="S166" s="45">
        <f t="shared" si="29"/>
        <v>289.5</v>
      </c>
      <c r="T166" s="33">
        <f t="shared" si="30"/>
        <v>14</v>
      </c>
      <c r="U166" s="65">
        <v>2.0</v>
      </c>
      <c r="V166" s="3"/>
      <c r="W166" s="3"/>
      <c r="X166" s="3"/>
      <c r="Y166" s="3"/>
      <c r="Z166" s="3"/>
    </row>
    <row r="167">
      <c r="A167" s="102" t="s">
        <v>245</v>
      </c>
      <c r="B167" s="24">
        <f t="shared" si="25"/>
        <v>300</v>
      </c>
      <c r="C167" s="36">
        <v>30.0</v>
      </c>
      <c r="D167" s="37">
        <f t="shared" si="26"/>
        <v>300</v>
      </c>
      <c r="E167" s="41"/>
      <c r="F167" s="41">
        <v>1.0</v>
      </c>
      <c r="G167" s="40"/>
      <c r="H167" s="40"/>
      <c r="I167" s="41"/>
      <c r="J167" s="38"/>
      <c r="K167" s="44"/>
      <c r="L167" s="41">
        <v>0.5</v>
      </c>
      <c r="M167" s="44"/>
      <c r="N167" s="37">
        <f t="shared" si="27"/>
        <v>1.5</v>
      </c>
      <c r="O167" s="40"/>
      <c r="P167" s="40"/>
      <c r="Q167" s="67">
        <v>1.0</v>
      </c>
      <c r="R167" s="42">
        <f t="shared" si="28"/>
        <v>1</v>
      </c>
      <c r="S167" s="45">
        <f t="shared" si="29"/>
        <v>299.5</v>
      </c>
      <c r="T167" s="33">
        <f t="shared" si="30"/>
        <v>8</v>
      </c>
      <c r="U167" s="3"/>
      <c r="V167" s="3"/>
      <c r="W167" s="3"/>
      <c r="X167" s="3"/>
      <c r="Y167" s="3"/>
      <c r="Z167" s="3"/>
    </row>
    <row r="168">
      <c r="A168" s="102" t="s">
        <v>246</v>
      </c>
      <c r="B168" s="24">
        <f t="shared" si="25"/>
        <v>300</v>
      </c>
      <c r="C168" s="36">
        <v>30.0</v>
      </c>
      <c r="D168" s="37">
        <f t="shared" si="26"/>
        <v>300</v>
      </c>
      <c r="E168" s="41"/>
      <c r="F168" s="41"/>
      <c r="G168" s="40"/>
      <c r="H168" s="40"/>
      <c r="I168" s="41">
        <v>0.5</v>
      </c>
      <c r="J168" s="40"/>
      <c r="K168" s="44"/>
      <c r="L168" s="41"/>
      <c r="M168" s="61"/>
      <c r="N168" s="37">
        <f t="shared" si="27"/>
        <v>0.5</v>
      </c>
      <c r="O168" s="40"/>
      <c r="P168" s="40"/>
      <c r="Q168" s="67">
        <v>1.0</v>
      </c>
      <c r="R168" s="42">
        <f t="shared" si="28"/>
        <v>1</v>
      </c>
      <c r="S168" s="47">
        <f t="shared" si="29"/>
        <v>300.5</v>
      </c>
      <c r="T168" s="33">
        <f t="shared" si="30"/>
        <v>6</v>
      </c>
      <c r="U168" s="3"/>
      <c r="V168" s="3"/>
      <c r="W168" s="3"/>
      <c r="X168" s="3"/>
      <c r="Y168" s="3"/>
      <c r="Z168" s="3"/>
    </row>
    <row r="169">
      <c r="A169" s="102" t="s">
        <v>247</v>
      </c>
      <c r="B169" s="24">
        <f t="shared" si="25"/>
        <v>299</v>
      </c>
      <c r="C169" s="36">
        <v>30.0</v>
      </c>
      <c r="D169" s="37">
        <f t="shared" si="26"/>
        <v>299</v>
      </c>
      <c r="E169" s="41"/>
      <c r="F169" s="41">
        <v>1.0</v>
      </c>
      <c r="G169" s="40"/>
      <c r="H169" s="40"/>
      <c r="I169" s="41">
        <v>0.5</v>
      </c>
      <c r="J169" s="38"/>
      <c r="K169" s="41">
        <v>0.5</v>
      </c>
      <c r="L169" s="41"/>
      <c r="M169" s="41">
        <v>0.5</v>
      </c>
      <c r="N169" s="37">
        <f t="shared" si="27"/>
        <v>2.5</v>
      </c>
      <c r="O169" s="40"/>
      <c r="P169" s="40"/>
      <c r="Q169" s="67">
        <v>1.0</v>
      </c>
      <c r="R169" s="42">
        <f t="shared" si="28"/>
        <v>1</v>
      </c>
      <c r="S169" s="47">
        <f t="shared" si="29"/>
        <v>297.5</v>
      </c>
      <c r="T169" s="33">
        <f t="shared" si="30"/>
        <v>13</v>
      </c>
      <c r="U169" s="65">
        <v>1.0</v>
      </c>
      <c r="V169" s="3"/>
      <c r="W169" s="3"/>
      <c r="X169" s="3"/>
      <c r="Y169" s="3"/>
      <c r="Z169" s="3"/>
    </row>
    <row r="170">
      <c r="A170" s="102" t="s">
        <v>248</v>
      </c>
      <c r="B170" s="24">
        <f t="shared" si="25"/>
        <v>300</v>
      </c>
      <c r="C170" s="36">
        <v>30.0</v>
      </c>
      <c r="D170" s="37">
        <f t="shared" si="26"/>
        <v>300</v>
      </c>
      <c r="E170" s="44"/>
      <c r="F170" s="41"/>
      <c r="G170" s="40"/>
      <c r="H170" s="40"/>
      <c r="I170" s="41"/>
      <c r="J170" s="40"/>
      <c r="K170" s="41">
        <v>1.0</v>
      </c>
      <c r="L170" s="44"/>
      <c r="M170" s="41"/>
      <c r="N170" s="37">
        <f t="shared" si="27"/>
        <v>1</v>
      </c>
      <c r="O170" s="40"/>
      <c r="P170" s="40"/>
      <c r="Q170" s="67">
        <v>1.0</v>
      </c>
      <c r="R170" s="42">
        <f t="shared" si="28"/>
        <v>1</v>
      </c>
      <c r="S170" s="43">
        <f t="shared" si="29"/>
        <v>300</v>
      </c>
      <c r="T170" s="33">
        <f t="shared" si="30"/>
        <v>7</v>
      </c>
      <c r="U170" s="3"/>
      <c r="V170" s="3"/>
      <c r="W170" s="3"/>
      <c r="X170" s="3"/>
      <c r="Y170" s="3"/>
      <c r="Z170" s="3"/>
    </row>
    <row r="171">
      <c r="A171" s="102" t="s">
        <v>249</v>
      </c>
      <c r="B171" s="24">
        <f t="shared" si="25"/>
        <v>300</v>
      </c>
      <c r="C171" s="36">
        <v>30.0</v>
      </c>
      <c r="D171" s="37">
        <f t="shared" si="26"/>
        <v>300</v>
      </c>
      <c r="E171" s="44"/>
      <c r="F171" s="41"/>
      <c r="G171" s="40"/>
      <c r="H171" s="40"/>
      <c r="I171" s="41"/>
      <c r="J171" s="40"/>
      <c r="K171" s="44"/>
      <c r="L171" s="41"/>
      <c r="M171" s="41"/>
      <c r="N171" s="37">
        <f t="shared" si="27"/>
        <v>0</v>
      </c>
      <c r="O171" s="40"/>
      <c r="P171" s="40"/>
      <c r="Q171" s="67">
        <v>1.0</v>
      </c>
      <c r="R171" s="42">
        <f t="shared" si="28"/>
        <v>1</v>
      </c>
      <c r="S171" s="45">
        <f t="shared" si="29"/>
        <v>301</v>
      </c>
      <c r="T171" s="33">
        <f t="shared" si="30"/>
        <v>1</v>
      </c>
      <c r="U171" s="3"/>
      <c r="V171" s="3"/>
      <c r="W171" s="3"/>
      <c r="X171" s="3"/>
      <c r="Y171" s="3"/>
      <c r="Z171" s="3"/>
    </row>
    <row r="172">
      <c r="A172" s="102" t="s">
        <v>250</v>
      </c>
      <c r="B172" s="24">
        <f t="shared" si="25"/>
        <v>300</v>
      </c>
      <c r="C172" s="36">
        <v>30.0</v>
      </c>
      <c r="D172" s="37">
        <f t="shared" si="26"/>
        <v>300</v>
      </c>
      <c r="E172" s="41"/>
      <c r="F172" s="44"/>
      <c r="G172" s="40"/>
      <c r="H172" s="40"/>
      <c r="I172" s="41"/>
      <c r="J172" s="40"/>
      <c r="K172" s="44"/>
      <c r="L172" s="41"/>
      <c r="M172" s="41"/>
      <c r="N172" s="37">
        <f t="shared" si="27"/>
        <v>0</v>
      </c>
      <c r="O172" s="40"/>
      <c r="P172" s="40"/>
      <c r="Q172" s="67">
        <v>1.0</v>
      </c>
      <c r="R172" s="42">
        <f t="shared" si="28"/>
        <v>1</v>
      </c>
      <c r="S172" s="45">
        <f t="shared" si="29"/>
        <v>301</v>
      </c>
      <c r="T172" s="33">
        <f t="shared" si="30"/>
        <v>1</v>
      </c>
      <c r="U172" s="3"/>
      <c r="V172" s="3"/>
      <c r="W172" s="3"/>
      <c r="X172" s="3"/>
      <c r="Y172" s="3"/>
      <c r="Z172" s="3"/>
    </row>
    <row r="173">
      <c r="A173" s="102" t="s">
        <v>251</v>
      </c>
      <c r="B173" s="24">
        <f t="shared" si="25"/>
        <v>300</v>
      </c>
      <c r="C173" s="36">
        <v>30.0</v>
      </c>
      <c r="D173" s="37">
        <f t="shared" si="26"/>
        <v>300</v>
      </c>
      <c r="E173" s="44"/>
      <c r="F173" s="41"/>
      <c r="G173" s="40"/>
      <c r="H173" s="40"/>
      <c r="I173" s="41"/>
      <c r="J173" s="40"/>
      <c r="K173" s="41"/>
      <c r="L173" s="41"/>
      <c r="M173" s="41"/>
      <c r="N173" s="37">
        <f t="shared" si="27"/>
        <v>0</v>
      </c>
      <c r="O173" s="40"/>
      <c r="P173" s="40"/>
      <c r="Q173" s="67">
        <v>1.0</v>
      </c>
      <c r="R173" s="42">
        <f t="shared" si="28"/>
        <v>1</v>
      </c>
      <c r="S173" s="47">
        <f t="shared" si="29"/>
        <v>301</v>
      </c>
      <c r="T173" s="33">
        <f t="shared" si="30"/>
        <v>1</v>
      </c>
      <c r="U173" s="3"/>
      <c r="V173" s="3"/>
      <c r="W173" s="3"/>
      <c r="X173" s="3"/>
      <c r="Y173" s="3"/>
      <c r="Z173" s="3"/>
    </row>
    <row r="174">
      <c r="A174" s="103" t="s">
        <v>252</v>
      </c>
      <c r="B174" s="49">
        <f t="shared" si="25"/>
        <v>300</v>
      </c>
      <c r="C174" s="50">
        <v>30.0</v>
      </c>
      <c r="D174" s="51">
        <f t="shared" si="26"/>
        <v>300</v>
      </c>
      <c r="E174" s="74"/>
      <c r="F174" s="74">
        <v>0.5</v>
      </c>
      <c r="G174" s="53"/>
      <c r="H174" s="53"/>
      <c r="I174" s="74"/>
      <c r="J174" s="52"/>
      <c r="K174" s="54"/>
      <c r="L174" s="74">
        <v>0.5</v>
      </c>
      <c r="M174" s="74"/>
      <c r="N174" s="51">
        <f t="shared" si="27"/>
        <v>1</v>
      </c>
      <c r="O174" s="53"/>
      <c r="P174" s="53"/>
      <c r="Q174" s="69"/>
      <c r="R174" s="56">
        <f t="shared" si="28"/>
        <v>0</v>
      </c>
      <c r="S174" s="57">
        <f t="shared" si="29"/>
        <v>299</v>
      </c>
      <c r="T174" s="58">
        <f t="shared" si="30"/>
        <v>9</v>
      </c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104"/>
      <c r="F175" s="104"/>
      <c r="G175" s="3"/>
      <c r="H175" s="3"/>
      <c r="I175" s="104"/>
      <c r="J175" s="3"/>
      <c r="K175" s="104"/>
      <c r="L175" s="104"/>
      <c r="M175" s="61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63"/>
      <c r="B176" s="63" t="s">
        <v>37</v>
      </c>
      <c r="C176" s="3"/>
      <c r="D176" s="3"/>
      <c r="E176" s="104"/>
      <c r="F176" s="104"/>
      <c r="G176" s="3"/>
      <c r="H176" s="3"/>
      <c r="I176" s="105" t="s">
        <v>328</v>
      </c>
      <c r="J176" s="62"/>
      <c r="K176" s="104"/>
      <c r="L176" s="104"/>
      <c r="M176" s="71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65" t="s">
        <v>329</v>
      </c>
      <c r="C177" s="3"/>
      <c r="D177" s="3"/>
      <c r="E177" s="104"/>
      <c r="F177" s="104"/>
      <c r="G177" s="3"/>
      <c r="H177" s="3"/>
      <c r="I177" s="105" t="s">
        <v>330</v>
      </c>
      <c r="J177" s="3"/>
      <c r="K177" s="104"/>
      <c r="L177" s="106"/>
      <c r="M177" s="72"/>
      <c r="N177" s="92"/>
      <c r="O177" s="111" t="s">
        <v>108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65" t="s">
        <v>331</v>
      </c>
      <c r="C178" s="3"/>
      <c r="D178" s="3"/>
      <c r="E178" s="104"/>
      <c r="F178" s="104"/>
      <c r="G178" s="3"/>
      <c r="H178" s="3"/>
      <c r="I178" s="108"/>
      <c r="J178" s="3"/>
      <c r="K178" s="104"/>
      <c r="L178" s="106"/>
      <c r="M178" s="72"/>
      <c r="N178" s="92"/>
      <c r="O178" s="87" t="s">
        <v>332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65" t="s">
        <v>333</v>
      </c>
      <c r="C179" s="3"/>
      <c r="D179" s="3"/>
      <c r="E179" s="104"/>
      <c r="F179" s="104"/>
      <c r="G179" s="3"/>
      <c r="H179" s="3"/>
      <c r="I179" s="104"/>
      <c r="J179" s="3"/>
      <c r="K179" s="105"/>
      <c r="L179" s="106"/>
      <c r="M179" s="71"/>
      <c r="N179" s="6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65" t="s">
        <v>334</v>
      </c>
      <c r="C180" s="3"/>
      <c r="D180" s="3"/>
      <c r="E180" s="104"/>
      <c r="F180" s="104"/>
      <c r="G180" s="3"/>
      <c r="H180" s="3"/>
      <c r="I180" s="104"/>
      <c r="J180" s="3"/>
      <c r="K180" s="105"/>
      <c r="L180" s="106"/>
      <c r="M180" s="71"/>
      <c r="N180" s="92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65" t="s">
        <v>335</v>
      </c>
      <c r="C181" s="3"/>
      <c r="D181" s="3"/>
      <c r="E181" s="104"/>
      <c r="F181" s="104"/>
      <c r="G181" s="3"/>
      <c r="H181" s="3"/>
      <c r="I181" s="104"/>
      <c r="J181" s="3"/>
      <c r="K181" s="104"/>
      <c r="L181" s="104"/>
      <c r="M181" s="72"/>
      <c r="N181" s="6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65" t="s">
        <v>336</v>
      </c>
      <c r="C182" s="3"/>
      <c r="D182" s="3"/>
      <c r="E182" s="104"/>
      <c r="F182" s="104"/>
      <c r="G182" s="3"/>
      <c r="H182" s="3"/>
      <c r="I182" s="104"/>
      <c r="J182" s="3"/>
      <c r="K182" s="104"/>
      <c r="L182" s="104"/>
      <c r="M182" s="72"/>
      <c r="N182" s="109"/>
      <c r="O182" s="59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65" t="s">
        <v>337</v>
      </c>
      <c r="C183" s="3"/>
      <c r="D183" s="3"/>
      <c r="E183" s="104"/>
      <c r="F183" s="104"/>
      <c r="G183" s="3"/>
      <c r="H183" s="3"/>
      <c r="I183" s="104"/>
      <c r="J183" s="3"/>
      <c r="K183" s="104"/>
      <c r="L183" s="104"/>
      <c r="M183" s="61"/>
      <c r="O183" s="59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65" t="s">
        <v>338</v>
      </c>
      <c r="C184" s="3"/>
      <c r="D184" s="3"/>
      <c r="E184" s="104"/>
      <c r="F184" s="104"/>
      <c r="G184" s="3"/>
      <c r="H184" s="3"/>
      <c r="I184" s="104"/>
      <c r="J184" s="3"/>
      <c r="K184" s="104"/>
      <c r="L184" s="104"/>
      <c r="M184" s="71"/>
      <c r="O184" s="7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65" t="s">
        <v>339</v>
      </c>
      <c r="C185" s="3"/>
      <c r="D185" s="3"/>
      <c r="E185" s="104"/>
      <c r="F185" s="104"/>
      <c r="G185" s="3"/>
      <c r="H185" s="3"/>
      <c r="I185" s="104"/>
      <c r="J185" s="3"/>
      <c r="K185" s="104"/>
      <c r="L185" s="104"/>
      <c r="M185" s="71"/>
      <c r="O185" s="7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65" t="s">
        <v>340</v>
      </c>
      <c r="C186" s="3"/>
      <c r="D186" s="3"/>
      <c r="E186" s="104"/>
      <c r="F186" s="104"/>
      <c r="G186" s="3"/>
      <c r="H186" s="3"/>
      <c r="I186" s="104"/>
      <c r="J186" s="3"/>
      <c r="K186" s="104"/>
      <c r="L186" s="104"/>
      <c r="M186" s="72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104"/>
      <c r="F187" s="104"/>
      <c r="G187" s="3"/>
      <c r="H187" s="3"/>
      <c r="I187" s="104"/>
      <c r="J187" s="3"/>
      <c r="K187" s="104"/>
      <c r="L187" s="104"/>
      <c r="M187" s="61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104"/>
      <c r="F188" s="104"/>
      <c r="G188" s="3"/>
      <c r="H188" s="3"/>
      <c r="I188" s="104"/>
      <c r="J188" s="3"/>
      <c r="K188" s="104"/>
      <c r="L188" s="104"/>
      <c r="M188" s="61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104"/>
      <c r="F189" s="104"/>
      <c r="G189" s="3"/>
      <c r="H189" s="3"/>
      <c r="I189" s="104"/>
      <c r="J189" s="3"/>
      <c r="K189" s="104"/>
      <c r="L189" s="104"/>
      <c r="M189" s="61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" t="s">
        <v>341</v>
      </c>
      <c r="U190" s="3"/>
      <c r="V190" s="3"/>
      <c r="W190" s="3"/>
      <c r="X190" s="3"/>
      <c r="Y190" s="3"/>
      <c r="Z190" s="3"/>
    </row>
    <row r="191">
      <c r="A191" s="1" t="s">
        <v>114</v>
      </c>
      <c r="U191" s="3"/>
      <c r="V191" s="3"/>
      <c r="W191" s="3"/>
      <c r="X191" s="3"/>
      <c r="Y191" s="3"/>
      <c r="Z191" s="3"/>
    </row>
    <row r="192">
      <c r="A192" s="2"/>
      <c r="B192" s="4"/>
      <c r="C192" s="2"/>
      <c r="D192" s="2"/>
      <c r="E192" s="98"/>
      <c r="F192" s="98"/>
      <c r="G192" s="2"/>
      <c r="H192" s="2"/>
      <c r="I192" s="98"/>
      <c r="J192" s="2"/>
      <c r="K192" s="98"/>
      <c r="L192" s="98"/>
      <c r="M192" s="7"/>
      <c r="N192" s="2"/>
      <c r="O192" s="2"/>
      <c r="P192" s="2"/>
      <c r="Q192" s="2"/>
      <c r="R192" s="2"/>
      <c r="S192" s="2"/>
      <c r="T192" s="2"/>
      <c r="U192" s="3"/>
      <c r="V192" s="3"/>
      <c r="W192" s="3"/>
      <c r="X192" s="3"/>
      <c r="Y192" s="3"/>
      <c r="Z192" s="3"/>
    </row>
    <row r="193">
      <c r="A193" s="8" t="s">
        <v>2</v>
      </c>
      <c r="B193" s="9" t="s">
        <v>3</v>
      </c>
      <c r="C193" s="10"/>
      <c r="D193" s="11"/>
      <c r="E193" s="99" t="s">
        <v>4</v>
      </c>
      <c r="F193" s="10"/>
      <c r="G193" s="10"/>
      <c r="H193" s="10"/>
      <c r="I193" s="10"/>
      <c r="J193" s="10"/>
      <c r="K193" s="10"/>
      <c r="L193" s="10"/>
      <c r="M193" s="10"/>
      <c r="N193" s="11"/>
      <c r="O193" s="13" t="s">
        <v>5</v>
      </c>
      <c r="P193" s="10"/>
      <c r="Q193" s="10"/>
      <c r="R193" s="11"/>
      <c r="S193" s="14" t="s">
        <v>6</v>
      </c>
      <c r="T193" s="14" t="s">
        <v>7</v>
      </c>
      <c r="U193" s="3"/>
      <c r="V193" s="3"/>
      <c r="W193" s="3"/>
      <c r="X193" s="3"/>
      <c r="Y193" s="3"/>
      <c r="Z193" s="3"/>
    </row>
    <row r="194">
      <c r="A194" s="15"/>
      <c r="B194" s="16" t="s">
        <v>8</v>
      </c>
      <c r="C194" s="17" t="s">
        <v>9</v>
      </c>
      <c r="D194" s="14" t="s">
        <v>10</v>
      </c>
      <c r="E194" s="18" t="s">
        <v>11</v>
      </c>
      <c r="F194" s="18" t="s">
        <v>12</v>
      </c>
      <c r="G194" s="17" t="s">
        <v>13</v>
      </c>
      <c r="H194" s="17" t="s">
        <v>14</v>
      </c>
      <c r="I194" s="18" t="s">
        <v>15</v>
      </c>
      <c r="J194" s="17" t="s">
        <v>16</v>
      </c>
      <c r="K194" s="18" t="s">
        <v>17</v>
      </c>
      <c r="L194" s="18" t="s">
        <v>18</v>
      </c>
      <c r="M194" s="18" t="s">
        <v>19</v>
      </c>
      <c r="N194" s="14" t="s">
        <v>20</v>
      </c>
      <c r="O194" s="17" t="s">
        <v>21</v>
      </c>
      <c r="P194" s="17" t="s">
        <v>22</v>
      </c>
      <c r="Q194" s="17" t="s">
        <v>23</v>
      </c>
      <c r="R194" s="14" t="s">
        <v>24</v>
      </c>
      <c r="S194" s="19"/>
      <c r="T194" s="19"/>
      <c r="U194" s="3"/>
      <c r="V194" s="3"/>
      <c r="W194" s="3"/>
      <c r="X194" s="3"/>
      <c r="Y194" s="3"/>
      <c r="Z194" s="3"/>
    </row>
    <row r="195">
      <c r="A195" s="20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3"/>
      <c r="V195" s="3"/>
      <c r="W195" s="3"/>
      <c r="X195" s="3"/>
      <c r="Y195" s="3"/>
      <c r="Z195" s="3"/>
    </row>
    <row r="196">
      <c r="A196" s="100">
        <v>11.0</v>
      </c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3"/>
      <c r="V196" s="3"/>
      <c r="W196" s="3"/>
      <c r="X196" s="3"/>
      <c r="Y196" s="3"/>
      <c r="Z196" s="3"/>
    </row>
    <row r="197">
      <c r="A197" s="101" t="s">
        <v>239</v>
      </c>
      <c r="B197" s="24">
        <f t="shared" ref="B197:B210" si="31">300-U197</f>
        <v>300</v>
      </c>
      <c r="C197" s="25">
        <v>30.0</v>
      </c>
      <c r="D197" s="26">
        <f t="shared" ref="D197:D210" si="32">B197</f>
        <v>300</v>
      </c>
      <c r="E197" s="30"/>
      <c r="F197" s="73"/>
      <c r="G197" s="29"/>
      <c r="H197" s="29"/>
      <c r="I197" s="73"/>
      <c r="J197" s="29"/>
      <c r="K197" s="30"/>
      <c r="L197" s="73">
        <v>0.5</v>
      </c>
      <c r="M197" s="73"/>
      <c r="N197" s="26">
        <f t="shared" ref="N197:N210" si="33">SUM(E197:M197)</f>
        <v>0.5</v>
      </c>
      <c r="O197" s="29"/>
      <c r="P197" s="29"/>
      <c r="Q197" s="83">
        <v>1.0</v>
      </c>
      <c r="R197" s="31">
        <f t="shared" ref="R197:R210" si="34">SUM(O197:Q197)</f>
        <v>1</v>
      </c>
      <c r="S197" s="32">
        <f t="shared" ref="S197:S210" si="35">D197-N197+R197</f>
        <v>300.5</v>
      </c>
      <c r="T197" s="33">
        <f t="shared" ref="T197:T210" si="36">RANK(S197,$S$197:$S$210,0)</f>
        <v>7</v>
      </c>
      <c r="U197" s="3"/>
      <c r="V197" s="3"/>
      <c r="W197" s="3"/>
      <c r="X197" s="3"/>
      <c r="Y197" s="3"/>
      <c r="Z197" s="3"/>
    </row>
    <row r="198">
      <c r="A198" s="102" t="s">
        <v>240</v>
      </c>
      <c r="B198" s="24">
        <f t="shared" si="31"/>
        <v>300</v>
      </c>
      <c r="C198" s="36">
        <v>30.0</v>
      </c>
      <c r="D198" s="37">
        <f t="shared" si="32"/>
        <v>300</v>
      </c>
      <c r="E198" s="41"/>
      <c r="F198" s="41"/>
      <c r="G198" s="40"/>
      <c r="H198" s="40"/>
      <c r="I198" s="41"/>
      <c r="J198" s="40"/>
      <c r="K198" s="44"/>
      <c r="L198" s="41"/>
      <c r="M198" s="41"/>
      <c r="N198" s="37">
        <f t="shared" si="33"/>
        <v>0</v>
      </c>
      <c r="O198" s="40"/>
      <c r="P198" s="40"/>
      <c r="Q198" s="67">
        <v>1.0</v>
      </c>
      <c r="R198" s="42">
        <f t="shared" si="34"/>
        <v>1</v>
      </c>
      <c r="S198" s="43">
        <f t="shared" si="35"/>
        <v>301</v>
      </c>
      <c r="T198" s="33">
        <f t="shared" si="36"/>
        <v>4</v>
      </c>
      <c r="U198" s="3"/>
      <c r="V198" s="3"/>
      <c r="W198" s="3"/>
      <c r="X198" s="3"/>
      <c r="Y198" s="3"/>
      <c r="Z198" s="3"/>
    </row>
    <row r="199">
      <c r="A199" s="102" t="s">
        <v>241</v>
      </c>
      <c r="B199" s="24">
        <f t="shared" si="31"/>
        <v>299</v>
      </c>
      <c r="C199" s="36">
        <v>30.0</v>
      </c>
      <c r="D199" s="37">
        <f t="shared" si="32"/>
        <v>299</v>
      </c>
      <c r="E199" s="41"/>
      <c r="F199" s="41"/>
      <c r="G199" s="40"/>
      <c r="H199" s="40"/>
      <c r="I199" s="41"/>
      <c r="J199" s="40"/>
      <c r="K199" s="41"/>
      <c r="L199" s="41"/>
      <c r="M199" s="41"/>
      <c r="N199" s="37">
        <f t="shared" si="33"/>
        <v>0</v>
      </c>
      <c r="O199" s="40"/>
      <c r="P199" s="40"/>
      <c r="Q199" s="67">
        <v>3.0</v>
      </c>
      <c r="R199" s="42">
        <f t="shared" si="34"/>
        <v>3</v>
      </c>
      <c r="S199" s="45">
        <f t="shared" si="35"/>
        <v>302</v>
      </c>
      <c r="T199" s="33">
        <f t="shared" si="36"/>
        <v>2</v>
      </c>
      <c r="U199" s="65">
        <v>1.0</v>
      </c>
      <c r="V199" s="3"/>
      <c r="W199" s="3"/>
      <c r="X199" s="3"/>
      <c r="Y199" s="3"/>
      <c r="Z199" s="3"/>
    </row>
    <row r="200">
      <c r="A200" s="102" t="s">
        <v>242</v>
      </c>
      <c r="B200" s="24">
        <f t="shared" si="31"/>
        <v>300</v>
      </c>
      <c r="C200" s="36">
        <v>30.0</v>
      </c>
      <c r="D200" s="37">
        <f t="shared" si="32"/>
        <v>300</v>
      </c>
      <c r="E200" s="41"/>
      <c r="F200" s="41"/>
      <c r="G200" s="40"/>
      <c r="H200" s="40"/>
      <c r="I200" s="41"/>
      <c r="J200" s="40"/>
      <c r="K200" s="44"/>
      <c r="L200" s="41"/>
      <c r="M200" s="41"/>
      <c r="N200" s="37">
        <f t="shared" si="33"/>
        <v>0</v>
      </c>
      <c r="O200" s="40"/>
      <c r="P200" s="40"/>
      <c r="Q200" s="67">
        <v>3.0</v>
      </c>
      <c r="R200" s="42">
        <f t="shared" si="34"/>
        <v>3</v>
      </c>
      <c r="S200" s="45">
        <f t="shared" si="35"/>
        <v>303</v>
      </c>
      <c r="T200" s="33">
        <f t="shared" si="36"/>
        <v>1</v>
      </c>
      <c r="U200" s="3"/>
      <c r="V200" s="3"/>
      <c r="W200" s="3"/>
      <c r="X200" s="3"/>
      <c r="Y200" s="3"/>
      <c r="Z200" s="3"/>
    </row>
    <row r="201">
      <c r="A201" s="102" t="s">
        <v>243</v>
      </c>
      <c r="B201" s="24">
        <f t="shared" si="31"/>
        <v>300</v>
      </c>
      <c r="C201" s="36">
        <v>30.0</v>
      </c>
      <c r="D201" s="37">
        <f t="shared" si="32"/>
        <v>300</v>
      </c>
      <c r="E201" s="41">
        <v>1.5</v>
      </c>
      <c r="F201" s="44"/>
      <c r="G201" s="40"/>
      <c r="H201" s="40"/>
      <c r="I201" s="41"/>
      <c r="J201" s="40"/>
      <c r="K201" s="44"/>
      <c r="L201" s="44"/>
      <c r="M201" s="41"/>
      <c r="N201" s="37">
        <f t="shared" si="33"/>
        <v>1.5</v>
      </c>
      <c r="O201" s="40"/>
      <c r="P201" s="40"/>
      <c r="Q201" s="67">
        <v>2.0</v>
      </c>
      <c r="R201" s="42">
        <f t="shared" si="34"/>
        <v>2</v>
      </c>
      <c r="S201" s="45">
        <f t="shared" si="35"/>
        <v>300.5</v>
      </c>
      <c r="T201" s="33">
        <f t="shared" si="36"/>
        <v>7</v>
      </c>
      <c r="U201" s="3"/>
      <c r="V201" s="3"/>
      <c r="W201" s="3"/>
      <c r="X201" s="3"/>
      <c r="Y201" s="3"/>
      <c r="Z201" s="3"/>
    </row>
    <row r="202">
      <c r="A202" s="102" t="s">
        <v>244</v>
      </c>
      <c r="B202" s="24">
        <f t="shared" si="31"/>
        <v>300</v>
      </c>
      <c r="C202" s="36">
        <v>30.0</v>
      </c>
      <c r="D202" s="37">
        <f t="shared" si="32"/>
        <v>300</v>
      </c>
      <c r="E202" s="41"/>
      <c r="F202" s="41">
        <v>1.0</v>
      </c>
      <c r="G202" s="40"/>
      <c r="H202" s="40"/>
      <c r="I202" s="41"/>
      <c r="J202" s="40"/>
      <c r="K202" s="41">
        <v>0.5</v>
      </c>
      <c r="L202" s="41"/>
      <c r="M202" s="41"/>
      <c r="N202" s="37">
        <f t="shared" si="33"/>
        <v>1.5</v>
      </c>
      <c r="O202" s="40"/>
      <c r="P202" s="40"/>
      <c r="Q202" s="67">
        <v>1.0</v>
      </c>
      <c r="R202" s="42">
        <f t="shared" si="34"/>
        <v>1</v>
      </c>
      <c r="S202" s="45">
        <f t="shared" si="35"/>
        <v>299.5</v>
      </c>
      <c r="T202" s="33">
        <f t="shared" si="36"/>
        <v>13</v>
      </c>
      <c r="U202" s="65"/>
      <c r="V202" s="3"/>
      <c r="W202" s="3"/>
      <c r="X202" s="3"/>
      <c r="Y202" s="3"/>
      <c r="Z202" s="3"/>
    </row>
    <row r="203">
      <c r="A203" s="102" t="s">
        <v>245</v>
      </c>
      <c r="B203" s="24">
        <f t="shared" si="31"/>
        <v>300</v>
      </c>
      <c r="C203" s="36">
        <v>30.0</v>
      </c>
      <c r="D203" s="37">
        <f t="shared" si="32"/>
        <v>300</v>
      </c>
      <c r="E203" s="41"/>
      <c r="F203" s="41">
        <v>0.5</v>
      </c>
      <c r="G203" s="40"/>
      <c r="H203" s="40"/>
      <c r="I203" s="41">
        <v>0.5</v>
      </c>
      <c r="J203" s="38"/>
      <c r="K203" s="41">
        <v>0.5</v>
      </c>
      <c r="L203" s="41"/>
      <c r="M203" s="44"/>
      <c r="N203" s="37">
        <f t="shared" si="33"/>
        <v>1.5</v>
      </c>
      <c r="O203" s="40"/>
      <c r="P203" s="40"/>
      <c r="Q203" s="67">
        <v>2.0</v>
      </c>
      <c r="R203" s="42">
        <f t="shared" si="34"/>
        <v>2</v>
      </c>
      <c r="S203" s="45">
        <f t="shared" si="35"/>
        <v>300.5</v>
      </c>
      <c r="T203" s="33">
        <f t="shared" si="36"/>
        <v>7</v>
      </c>
      <c r="U203" s="3"/>
      <c r="V203" s="3"/>
      <c r="W203" s="3"/>
      <c r="X203" s="3"/>
      <c r="Y203" s="3"/>
      <c r="Z203" s="3"/>
    </row>
    <row r="204">
      <c r="A204" s="102" t="s">
        <v>246</v>
      </c>
      <c r="B204" s="24">
        <f t="shared" si="31"/>
        <v>299</v>
      </c>
      <c r="C204" s="36">
        <v>30.0</v>
      </c>
      <c r="D204" s="37">
        <f t="shared" si="32"/>
        <v>299</v>
      </c>
      <c r="E204" s="41">
        <v>1.5</v>
      </c>
      <c r="F204" s="41"/>
      <c r="G204" s="40"/>
      <c r="H204" s="40"/>
      <c r="I204" s="41"/>
      <c r="J204" s="40"/>
      <c r="K204" s="44"/>
      <c r="L204" s="41"/>
      <c r="M204" s="61"/>
      <c r="N204" s="37">
        <f t="shared" si="33"/>
        <v>1.5</v>
      </c>
      <c r="O204" s="40"/>
      <c r="P204" s="40"/>
      <c r="Q204" s="67">
        <v>1.5</v>
      </c>
      <c r="R204" s="42">
        <f t="shared" si="34"/>
        <v>1.5</v>
      </c>
      <c r="S204" s="47">
        <f t="shared" si="35"/>
        <v>299</v>
      </c>
      <c r="T204" s="33">
        <f t="shared" si="36"/>
        <v>14</v>
      </c>
      <c r="U204" s="65">
        <v>1.0</v>
      </c>
      <c r="V204" s="3"/>
      <c r="W204" s="3"/>
      <c r="X204" s="3"/>
      <c r="Y204" s="3"/>
      <c r="Z204" s="3"/>
    </row>
    <row r="205">
      <c r="A205" s="102" t="s">
        <v>247</v>
      </c>
      <c r="B205" s="24">
        <f t="shared" si="31"/>
        <v>300</v>
      </c>
      <c r="C205" s="36">
        <v>30.0</v>
      </c>
      <c r="D205" s="37">
        <f t="shared" si="32"/>
        <v>300</v>
      </c>
      <c r="E205" s="41"/>
      <c r="F205" s="41">
        <v>1.0</v>
      </c>
      <c r="G205" s="40"/>
      <c r="H205" s="40"/>
      <c r="I205" s="41"/>
      <c r="J205" s="38"/>
      <c r="K205" s="41"/>
      <c r="L205" s="41"/>
      <c r="M205" s="41"/>
      <c r="N205" s="37">
        <f t="shared" si="33"/>
        <v>1</v>
      </c>
      <c r="O205" s="40"/>
      <c r="P205" s="40"/>
      <c r="Q205" s="67">
        <v>1.5</v>
      </c>
      <c r="R205" s="42">
        <f t="shared" si="34"/>
        <v>1.5</v>
      </c>
      <c r="S205" s="47">
        <f t="shared" si="35"/>
        <v>300.5</v>
      </c>
      <c r="T205" s="33">
        <f t="shared" si="36"/>
        <v>7</v>
      </c>
      <c r="U205" s="65"/>
      <c r="V205" s="3"/>
      <c r="W205" s="3"/>
      <c r="X205" s="3"/>
      <c r="Y205" s="3"/>
      <c r="Z205" s="3"/>
    </row>
    <row r="206">
      <c r="A206" s="102" t="s">
        <v>248</v>
      </c>
      <c r="B206" s="24">
        <f t="shared" si="31"/>
        <v>300</v>
      </c>
      <c r="C206" s="36">
        <v>30.0</v>
      </c>
      <c r="D206" s="37">
        <f t="shared" si="32"/>
        <v>300</v>
      </c>
      <c r="E206" s="44"/>
      <c r="F206" s="41"/>
      <c r="G206" s="40"/>
      <c r="H206" s="40"/>
      <c r="I206" s="41"/>
      <c r="J206" s="40"/>
      <c r="K206" s="41"/>
      <c r="L206" s="44"/>
      <c r="M206" s="41"/>
      <c r="N206" s="37">
        <f t="shared" si="33"/>
        <v>0</v>
      </c>
      <c r="O206" s="40"/>
      <c r="P206" s="40"/>
      <c r="Q206" s="67">
        <v>1.0</v>
      </c>
      <c r="R206" s="42">
        <f t="shared" si="34"/>
        <v>1</v>
      </c>
      <c r="S206" s="43">
        <f t="shared" si="35"/>
        <v>301</v>
      </c>
      <c r="T206" s="33">
        <f t="shared" si="36"/>
        <v>4</v>
      </c>
      <c r="U206" s="3"/>
      <c r="V206" s="3"/>
      <c r="W206" s="3"/>
      <c r="X206" s="3"/>
      <c r="Y206" s="3"/>
      <c r="Z206" s="3"/>
    </row>
    <row r="207">
      <c r="A207" s="102" t="s">
        <v>249</v>
      </c>
      <c r="B207" s="24">
        <f t="shared" si="31"/>
        <v>300</v>
      </c>
      <c r="C207" s="36">
        <v>30.0</v>
      </c>
      <c r="D207" s="37">
        <f t="shared" si="32"/>
        <v>300</v>
      </c>
      <c r="E207" s="44"/>
      <c r="F207" s="41">
        <v>0.5</v>
      </c>
      <c r="G207" s="40"/>
      <c r="H207" s="40"/>
      <c r="I207" s="41"/>
      <c r="J207" s="40"/>
      <c r="K207" s="44"/>
      <c r="L207" s="41"/>
      <c r="M207" s="41"/>
      <c r="N207" s="37">
        <f t="shared" si="33"/>
        <v>0.5</v>
      </c>
      <c r="O207" s="40"/>
      <c r="P207" s="40"/>
      <c r="Q207" s="67">
        <v>2.0</v>
      </c>
      <c r="R207" s="42">
        <f t="shared" si="34"/>
        <v>2</v>
      </c>
      <c r="S207" s="45">
        <f t="shared" si="35"/>
        <v>301.5</v>
      </c>
      <c r="T207" s="33">
        <f t="shared" si="36"/>
        <v>3</v>
      </c>
      <c r="U207" s="3"/>
      <c r="V207" s="3"/>
      <c r="W207" s="3"/>
      <c r="X207" s="3"/>
      <c r="Y207" s="3"/>
      <c r="Z207" s="3"/>
    </row>
    <row r="208">
      <c r="A208" s="102" t="s">
        <v>250</v>
      </c>
      <c r="B208" s="24">
        <f t="shared" si="31"/>
        <v>300</v>
      </c>
      <c r="C208" s="36">
        <v>30.0</v>
      </c>
      <c r="D208" s="37">
        <f t="shared" si="32"/>
        <v>300</v>
      </c>
      <c r="E208" s="41"/>
      <c r="F208" s="41">
        <v>0.5</v>
      </c>
      <c r="G208" s="40"/>
      <c r="H208" s="40"/>
      <c r="I208" s="41"/>
      <c r="J208" s="40"/>
      <c r="K208" s="44"/>
      <c r="L208" s="41"/>
      <c r="M208" s="41"/>
      <c r="N208" s="37">
        <f t="shared" si="33"/>
        <v>0.5</v>
      </c>
      <c r="O208" s="40"/>
      <c r="P208" s="40"/>
      <c r="Q208" s="67">
        <v>1.5</v>
      </c>
      <c r="R208" s="42">
        <f t="shared" si="34"/>
        <v>1.5</v>
      </c>
      <c r="S208" s="45">
        <f t="shared" si="35"/>
        <v>301</v>
      </c>
      <c r="T208" s="33">
        <f t="shared" si="36"/>
        <v>4</v>
      </c>
      <c r="U208" s="3"/>
      <c r="V208" s="3"/>
      <c r="W208" s="3"/>
      <c r="X208" s="3"/>
      <c r="Y208" s="3"/>
      <c r="Z208" s="3"/>
    </row>
    <row r="209">
      <c r="A209" s="102" t="s">
        <v>251</v>
      </c>
      <c r="B209" s="24">
        <f t="shared" si="31"/>
        <v>300</v>
      </c>
      <c r="C209" s="36">
        <v>30.0</v>
      </c>
      <c r="D209" s="37">
        <f t="shared" si="32"/>
        <v>300</v>
      </c>
      <c r="E209" s="44"/>
      <c r="F209" s="41">
        <v>0.5</v>
      </c>
      <c r="G209" s="40"/>
      <c r="H209" s="40"/>
      <c r="I209" s="41"/>
      <c r="J209" s="40"/>
      <c r="K209" s="41"/>
      <c r="L209" s="41"/>
      <c r="M209" s="41"/>
      <c r="N209" s="37">
        <f t="shared" si="33"/>
        <v>0.5</v>
      </c>
      <c r="O209" s="40"/>
      <c r="P209" s="40"/>
      <c r="Q209" s="67">
        <v>1.0</v>
      </c>
      <c r="R209" s="42">
        <f t="shared" si="34"/>
        <v>1</v>
      </c>
      <c r="S209" s="47">
        <f t="shared" si="35"/>
        <v>300.5</v>
      </c>
      <c r="T209" s="33">
        <f t="shared" si="36"/>
        <v>7</v>
      </c>
      <c r="U209" s="3"/>
      <c r="V209" s="3"/>
      <c r="W209" s="3"/>
      <c r="X209" s="3"/>
      <c r="Y209" s="3"/>
      <c r="Z209" s="3"/>
    </row>
    <row r="210">
      <c r="A210" s="103" t="s">
        <v>252</v>
      </c>
      <c r="B210" s="49">
        <f t="shared" si="31"/>
        <v>300</v>
      </c>
      <c r="C210" s="50">
        <v>30.0</v>
      </c>
      <c r="D210" s="51">
        <f t="shared" si="32"/>
        <v>300</v>
      </c>
      <c r="E210" s="74"/>
      <c r="F210" s="74">
        <v>0.5</v>
      </c>
      <c r="G210" s="53"/>
      <c r="H210" s="53"/>
      <c r="I210" s="74">
        <v>0.5</v>
      </c>
      <c r="J210" s="52"/>
      <c r="K210" s="54"/>
      <c r="L210" s="74">
        <v>0.5</v>
      </c>
      <c r="M210" s="74"/>
      <c r="N210" s="51">
        <f t="shared" si="33"/>
        <v>1.5</v>
      </c>
      <c r="O210" s="53"/>
      <c r="P210" s="53"/>
      <c r="Q210" s="69">
        <v>2.0</v>
      </c>
      <c r="R210" s="56">
        <f t="shared" si="34"/>
        <v>2</v>
      </c>
      <c r="S210" s="57">
        <f t="shared" si="35"/>
        <v>300.5</v>
      </c>
      <c r="T210" s="58">
        <f t="shared" si="36"/>
        <v>7</v>
      </c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104"/>
      <c r="F211" s="104"/>
      <c r="G211" s="3"/>
      <c r="H211" s="3"/>
      <c r="I211" s="104"/>
      <c r="J211" s="3"/>
      <c r="K211" s="104"/>
      <c r="L211" s="104"/>
      <c r="M211" s="61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63"/>
      <c r="B212" s="63" t="s">
        <v>37</v>
      </c>
      <c r="C212" s="3"/>
      <c r="D212" s="3"/>
      <c r="E212" s="104"/>
      <c r="F212" s="104"/>
      <c r="G212" s="63" t="s">
        <v>342</v>
      </c>
      <c r="H212" s="3"/>
      <c r="I212" s="105"/>
      <c r="J212" s="62"/>
      <c r="K212" s="104"/>
      <c r="L212" s="104"/>
      <c r="M212" s="71"/>
      <c r="N212" s="85" t="s">
        <v>343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65" t="s">
        <v>344</v>
      </c>
      <c r="C213" s="3"/>
      <c r="D213" s="3"/>
      <c r="E213" s="104"/>
      <c r="F213" s="104"/>
      <c r="G213" s="63" t="s">
        <v>345</v>
      </c>
      <c r="H213" s="3"/>
      <c r="I213" s="104"/>
      <c r="J213" s="3"/>
      <c r="K213" s="105"/>
      <c r="L213" s="106"/>
      <c r="M213" s="71"/>
      <c r="N213" s="90" t="s">
        <v>346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65" t="s">
        <v>347</v>
      </c>
      <c r="C214" s="3"/>
      <c r="D214" s="3"/>
      <c r="E214" s="104"/>
      <c r="F214" s="104"/>
      <c r="G214" s="63" t="s">
        <v>348</v>
      </c>
      <c r="H214" s="3"/>
      <c r="I214" s="104"/>
      <c r="J214" s="3"/>
      <c r="K214" s="104"/>
      <c r="L214" s="104"/>
      <c r="M214" s="72"/>
      <c r="N214" s="112" t="s">
        <v>349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65" t="s">
        <v>350</v>
      </c>
      <c r="C215" s="3"/>
      <c r="D215" s="3"/>
      <c r="E215" s="104"/>
      <c r="F215" s="104"/>
      <c r="G215" s="3"/>
      <c r="H215" s="3"/>
      <c r="I215" s="104"/>
      <c r="J215" s="3"/>
      <c r="K215" s="104"/>
      <c r="L215" s="104"/>
      <c r="M215" s="72"/>
      <c r="N215" s="90" t="s">
        <v>351</v>
      </c>
      <c r="O215" s="59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65" t="s">
        <v>352</v>
      </c>
      <c r="C216" s="3"/>
      <c r="D216" s="3"/>
      <c r="E216" s="104"/>
      <c r="F216" s="104"/>
      <c r="G216" s="3"/>
      <c r="H216" s="3"/>
      <c r="I216" s="104"/>
      <c r="J216" s="3"/>
      <c r="K216" s="104"/>
      <c r="L216" s="104"/>
      <c r="M216" s="61"/>
      <c r="N216" s="89" t="s">
        <v>353</v>
      </c>
      <c r="O216" s="59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65" t="s">
        <v>354</v>
      </c>
      <c r="C217" s="3"/>
      <c r="D217" s="3"/>
      <c r="E217" s="104"/>
      <c r="F217" s="104"/>
      <c r="G217" s="3"/>
      <c r="H217" s="3"/>
      <c r="I217" s="104"/>
      <c r="J217" s="3"/>
      <c r="K217" s="104"/>
      <c r="L217" s="104"/>
      <c r="M217" s="71"/>
      <c r="N217" s="90" t="s">
        <v>355</v>
      </c>
      <c r="O217" s="7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65"/>
      <c r="C218" s="3"/>
      <c r="D218" s="3"/>
      <c r="E218" s="104"/>
      <c r="F218" s="104"/>
      <c r="G218" s="3"/>
      <c r="H218" s="3"/>
      <c r="I218" s="104"/>
      <c r="J218" s="3"/>
      <c r="K218" s="104"/>
      <c r="L218" s="104"/>
      <c r="M218" s="71"/>
      <c r="N218" s="89" t="s">
        <v>356</v>
      </c>
      <c r="O218" s="7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65" t="s">
        <v>357</v>
      </c>
      <c r="C219" s="3"/>
      <c r="D219" s="3"/>
      <c r="E219" s="104"/>
      <c r="F219" s="104"/>
      <c r="G219" s="3"/>
      <c r="H219" s="3"/>
      <c r="I219" s="104"/>
      <c r="J219" s="3"/>
      <c r="K219" s="104"/>
      <c r="L219" s="104"/>
      <c r="M219" s="71"/>
      <c r="N219" s="81" t="s">
        <v>358</v>
      </c>
      <c r="O219" s="7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65" t="s">
        <v>359</v>
      </c>
      <c r="C220" s="3"/>
      <c r="D220" s="3"/>
      <c r="E220" s="104"/>
      <c r="F220" s="104"/>
      <c r="G220" s="3"/>
      <c r="H220" s="3"/>
      <c r="I220" s="104"/>
      <c r="J220" s="3"/>
      <c r="K220" s="104"/>
      <c r="L220" s="104"/>
      <c r="M220" s="71"/>
      <c r="N220" s="81" t="s">
        <v>360</v>
      </c>
      <c r="O220" s="7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65" t="s">
        <v>361</v>
      </c>
      <c r="C221" s="3"/>
      <c r="D221" s="3"/>
      <c r="E221" s="104"/>
      <c r="F221" s="104"/>
      <c r="G221" s="3"/>
      <c r="H221" s="3"/>
      <c r="I221" s="104"/>
      <c r="J221" s="3"/>
      <c r="K221" s="104"/>
      <c r="L221" s="104"/>
      <c r="M221" s="71"/>
      <c r="N221" s="81" t="s">
        <v>362</v>
      </c>
      <c r="O221" s="7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65" t="s">
        <v>363</v>
      </c>
      <c r="C222" s="3"/>
      <c r="D222" s="3"/>
      <c r="E222" s="104"/>
      <c r="F222" s="104"/>
      <c r="G222" s="3"/>
      <c r="H222" s="3"/>
      <c r="I222" s="104"/>
      <c r="J222" s="3"/>
      <c r="K222" s="104"/>
      <c r="L222" s="104"/>
      <c r="M222" s="72"/>
      <c r="N222" s="81" t="s">
        <v>364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104"/>
      <c r="F223" s="104"/>
      <c r="G223" s="3"/>
      <c r="H223" s="3"/>
      <c r="I223" s="104"/>
      <c r="J223" s="3"/>
      <c r="K223" s="104"/>
      <c r="L223" s="104"/>
      <c r="M223" s="61"/>
      <c r="N223" s="94" t="s">
        <v>365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104"/>
      <c r="F224" s="104"/>
      <c r="G224" s="3"/>
      <c r="H224" s="3"/>
      <c r="I224" s="104"/>
      <c r="J224" s="3"/>
      <c r="K224" s="104"/>
      <c r="L224" s="104"/>
      <c r="M224" s="61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104"/>
      <c r="F225" s="104"/>
      <c r="G225" s="3"/>
      <c r="H225" s="3"/>
      <c r="I225" s="104"/>
      <c r="J225" s="3"/>
      <c r="K225" s="104"/>
      <c r="L225" s="104"/>
      <c r="M225" s="61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" t="s">
        <v>366</v>
      </c>
      <c r="U226" s="3"/>
      <c r="V226" s="3"/>
      <c r="W226" s="3"/>
      <c r="X226" s="3"/>
      <c r="Y226" s="3"/>
      <c r="Z226" s="3"/>
    </row>
    <row r="227">
      <c r="A227" s="1" t="s">
        <v>367</v>
      </c>
      <c r="U227" s="3"/>
      <c r="V227" s="3"/>
      <c r="W227" s="3"/>
      <c r="X227" s="3"/>
      <c r="Y227" s="3"/>
      <c r="Z227" s="3"/>
    </row>
    <row r="228">
      <c r="A228" s="2"/>
      <c r="B228" s="4"/>
      <c r="C228" s="2"/>
      <c r="D228" s="2"/>
      <c r="E228" s="98"/>
      <c r="F228" s="98"/>
      <c r="G228" s="2"/>
      <c r="H228" s="2"/>
      <c r="I228" s="98"/>
      <c r="J228" s="2"/>
      <c r="K228" s="98"/>
      <c r="L228" s="98"/>
      <c r="M228" s="7"/>
      <c r="N228" s="2"/>
      <c r="O228" s="2"/>
      <c r="P228" s="2"/>
      <c r="Q228" s="2"/>
      <c r="R228" s="2"/>
      <c r="S228" s="2"/>
      <c r="T228" s="2"/>
      <c r="U228" s="3"/>
      <c r="V228" s="3"/>
      <c r="W228" s="3"/>
      <c r="X228" s="3"/>
      <c r="Y228" s="3"/>
      <c r="Z228" s="3"/>
    </row>
    <row r="229">
      <c r="A229" s="8" t="s">
        <v>2</v>
      </c>
      <c r="B229" s="9" t="s">
        <v>3</v>
      </c>
      <c r="C229" s="10"/>
      <c r="D229" s="11"/>
      <c r="E229" s="99" t="s">
        <v>4</v>
      </c>
      <c r="F229" s="10"/>
      <c r="G229" s="10"/>
      <c r="H229" s="10"/>
      <c r="I229" s="10"/>
      <c r="J229" s="10"/>
      <c r="K229" s="10"/>
      <c r="L229" s="10"/>
      <c r="M229" s="10"/>
      <c r="N229" s="11"/>
      <c r="O229" s="13" t="s">
        <v>5</v>
      </c>
      <c r="P229" s="10"/>
      <c r="Q229" s="10"/>
      <c r="R229" s="11"/>
      <c r="S229" s="14" t="s">
        <v>6</v>
      </c>
      <c r="T229" s="14" t="s">
        <v>7</v>
      </c>
      <c r="U229" s="3"/>
      <c r="V229" s="3"/>
      <c r="W229" s="3"/>
      <c r="X229" s="3"/>
      <c r="Y229" s="3"/>
      <c r="Z229" s="3"/>
    </row>
    <row r="230">
      <c r="A230" s="15"/>
      <c r="B230" s="16" t="s">
        <v>8</v>
      </c>
      <c r="C230" s="17" t="s">
        <v>9</v>
      </c>
      <c r="D230" s="14" t="s">
        <v>10</v>
      </c>
      <c r="E230" s="18" t="s">
        <v>11</v>
      </c>
      <c r="F230" s="18" t="s">
        <v>12</v>
      </c>
      <c r="G230" s="17" t="s">
        <v>13</v>
      </c>
      <c r="H230" s="17" t="s">
        <v>14</v>
      </c>
      <c r="I230" s="18" t="s">
        <v>15</v>
      </c>
      <c r="J230" s="17" t="s">
        <v>16</v>
      </c>
      <c r="K230" s="18" t="s">
        <v>17</v>
      </c>
      <c r="L230" s="18" t="s">
        <v>18</v>
      </c>
      <c r="M230" s="18" t="s">
        <v>19</v>
      </c>
      <c r="N230" s="14" t="s">
        <v>20</v>
      </c>
      <c r="O230" s="17" t="s">
        <v>21</v>
      </c>
      <c r="P230" s="17" t="s">
        <v>22</v>
      </c>
      <c r="Q230" s="17" t="s">
        <v>23</v>
      </c>
      <c r="R230" s="14" t="s">
        <v>24</v>
      </c>
      <c r="S230" s="19"/>
      <c r="T230" s="19"/>
      <c r="U230" s="3"/>
      <c r="V230" s="3"/>
      <c r="W230" s="3"/>
      <c r="X230" s="3"/>
      <c r="Y230" s="3"/>
      <c r="Z230" s="3"/>
    </row>
    <row r="231">
      <c r="A231" s="20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3"/>
      <c r="V231" s="3"/>
      <c r="W231" s="3"/>
      <c r="X231" s="3"/>
      <c r="Y231" s="3"/>
      <c r="Z231" s="3"/>
    </row>
    <row r="232">
      <c r="A232" s="100">
        <v>11.0</v>
      </c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3"/>
      <c r="V232" s="3"/>
      <c r="W232" s="3"/>
      <c r="X232" s="3"/>
      <c r="Y232" s="3"/>
      <c r="Z232" s="3"/>
    </row>
    <row r="233">
      <c r="A233" s="101" t="s">
        <v>239</v>
      </c>
      <c r="B233" s="24">
        <f t="shared" ref="B233:B246" si="37">300-U233</f>
        <v>300</v>
      </c>
      <c r="C233" s="25">
        <v>30.0</v>
      </c>
      <c r="D233" s="26">
        <f t="shared" ref="D233:D246" si="38">B233</f>
        <v>300</v>
      </c>
      <c r="E233" s="30"/>
      <c r="F233" s="73"/>
      <c r="G233" s="29"/>
      <c r="H233" s="29"/>
      <c r="I233" s="73"/>
      <c r="J233" s="29"/>
      <c r="K233" s="30"/>
      <c r="L233" s="73"/>
      <c r="M233" s="73"/>
      <c r="N233" s="26">
        <f t="shared" ref="N233:N246" si="39">SUM(E233:M233)</f>
        <v>0</v>
      </c>
      <c r="O233" s="29"/>
      <c r="P233" s="29"/>
      <c r="Q233" s="83">
        <v>1.5</v>
      </c>
      <c r="R233" s="31">
        <f t="shared" ref="R233:R246" si="40">SUM(O233:Q233)</f>
        <v>1.5</v>
      </c>
      <c r="S233" s="32">
        <f t="shared" ref="S233:S246" si="41">D233-N233+R233</f>
        <v>301.5</v>
      </c>
      <c r="T233" s="33">
        <f t="shared" ref="T233:T246" si="42">RANK(S233,$S$233:$S$246,0)</f>
        <v>3</v>
      </c>
      <c r="U233" s="3"/>
      <c r="V233" s="3"/>
      <c r="W233" s="3"/>
      <c r="X233" s="3"/>
      <c r="Y233" s="3"/>
      <c r="Z233" s="3"/>
    </row>
    <row r="234">
      <c r="A234" s="102" t="s">
        <v>240</v>
      </c>
      <c r="B234" s="24">
        <f t="shared" si="37"/>
        <v>300</v>
      </c>
      <c r="C234" s="36">
        <v>30.0</v>
      </c>
      <c r="D234" s="37">
        <f t="shared" si="38"/>
        <v>300</v>
      </c>
      <c r="E234" s="41"/>
      <c r="F234" s="41"/>
      <c r="G234" s="40"/>
      <c r="H234" s="40"/>
      <c r="I234" s="41"/>
      <c r="J234" s="40"/>
      <c r="K234" s="44"/>
      <c r="L234" s="41"/>
      <c r="M234" s="41"/>
      <c r="N234" s="37">
        <f t="shared" si="39"/>
        <v>0</v>
      </c>
      <c r="O234" s="40"/>
      <c r="P234" s="40"/>
      <c r="Q234" s="67"/>
      <c r="R234" s="42">
        <f t="shared" si="40"/>
        <v>0</v>
      </c>
      <c r="S234" s="43">
        <f t="shared" si="41"/>
        <v>300</v>
      </c>
      <c r="T234" s="33">
        <f t="shared" si="42"/>
        <v>10</v>
      </c>
      <c r="U234" s="3"/>
      <c r="V234" s="3"/>
      <c r="W234" s="3"/>
      <c r="X234" s="3"/>
      <c r="Y234" s="3"/>
      <c r="Z234" s="3"/>
    </row>
    <row r="235">
      <c r="A235" s="102" t="s">
        <v>241</v>
      </c>
      <c r="B235" s="24">
        <f t="shared" si="37"/>
        <v>300</v>
      </c>
      <c r="C235" s="36">
        <v>30.0</v>
      </c>
      <c r="D235" s="37">
        <f t="shared" si="38"/>
        <v>300</v>
      </c>
      <c r="E235" s="41"/>
      <c r="F235" s="41">
        <v>0.5</v>
      </c>
      <c r="G235" s="40"/>
      <c r="H235" s="40"/>
      <c r="I235" s="41"/>
      <c r="J235" s="40"/>
      <c r="K235" s="41"/>
      <c r="L235" s="41"/>
      <c r="M235" s="41"/>
      <c r="N235" s="37">
        <f t="shared" si="39"/>
        <v>0.5</v>
      </c>
      <c r="O235" s="40"/>
      <c r="P235" s="40"/>
      <c r="Q235" s="67"/>
      <c r="R235" s="42">
        <f t="shared" si="40"/>
        <v>0</v>
      </c>
      <c r="S235" s="45">
        <f t="shared" si="41"/>
        <v>299.5</v>
      </c>
      <c r="T235" s="33">
        <f t="shared" si="42"/>
        <v>12</v>
      </c>
      <c r="U235" s="65"/>
      <c r="V235" s="3"/>
      <c r="W235" s="3"/>
      <c r="X235" s="3"/>
      <c r="Y235" s="3"/>
      <c r="Z235" s="3"/>
    </row>
    <row r="236">
      <c r="A236" s="102" t="s">
        <v>242</v>
      </c>
      <c r="B236" s="24">
        <f t="shared" si="37"/>
        <v>299</v>
      </c>
      <c r="C236" s="36">
        <v>30.0</v>
      </c>
      <c r="D236" s="37">
        <f t="shared" si="38"/>
        <v>299</v>
      </c>
      <c r="E236" s="41"/>
      <c r="F236" s="41">
        <v>0.5</v>
      </c>
      <c r="G236" s="40"/>
      <c r="H236" s="40"/>
      <c r="I236" s="41"/>
      <c r="J236" s="40"/>
      <c r="K236" s="44"/>
      <c r="L236" s="41"/>
      <c r="M236" s="41"/>
      <c r="N236" s="37">
        <f t="shared" si="39"/>
        <v>0.5</v>
      </c>
      <c r="O236" s="40"/>
      <c r="P236" s="40"/>
      <c r="Q236" s="67">
        <v>2.0</v>
      </c>
      <c r="R236" s="42">
        <f t="shared" si="40"/>
        <v>2</v>
      </c>
      <c r="S236" s="45">
        <f t="shared" si="41"/>
        <v>300.5</v>
      </c>
      <c r="T236" s="33">
        <f t="shared" si="42"/>
        <v>8</v>
      </c>
      <c r="U236" s="65">
        <v>1.0</v>
      </c>
      <c r="V236" s="3"/>
      <c r="W236" s="3"/>
      <c r="X236" s="3"/>
      <c r="Y236" s="3"/>
      <c r="Z236" s="3"/>
    </row>
    <row r="237">
      <c r="A237" s="102" t="s">
        <v>243</v>
      </c>
      <c r="B237" s="24">
        <f t="shared" si="37"/>
        <v>299</v>
      </c>
      <c r="C237" s="36">
        <v>30.0</v>
      </c>
      <c r="D237" s="37">
        <f t="shared" si="38"/>
        <v>299</v>
      </c>
      <c r="E237" s="41"/>
      <c r="F237" s="41">
        <v>0.5</v>
      </c>
      <c r="G237" s="40"/>
      <c r="H237" s="40"/>
      <c r="I237" s="41"/>
      <c r="J237" s="40"/>
      <c r="K237" s="44"/>
      <c r="L237" s="44"/>
      <c r="M237" s="41"/>
      <c r="N237" s="37">
        <f t="shared" si="39"/>
        <v>0.5</v>
      </c>
      <c r="O237" s="40"/>
      <c r="P237" s="40"/>
      <c r="Q237" s="67">
        <v>2.5</v>
      </c>
      <c r="R237" s="42">
        <f t="shared" si="40"/>
        <v>2.5</v>
      </c>
      <c r="S237" s="45">
        <f t="shared" si="41"/>
        <v>301</v>
      </c>
      <c r="T237" s="33">
        <f t="shared" si="42"/>
        <v>6</v>
      </c>
      <c r="U237" s="65">
        <v>1.0</v>
      </c>
      <c r="V237" s="3"/>
      <c r="W237" s="3"/>
      <c r="X237" s="3"/>
      <c r="Y237" s="3"/>
      <c r="Z237" s="3"/>
    </row>
    <row r="238">
      <c r="A238" s="102" t="s">
        <v>244</v>
      </c>
      <c r="B238" s="24">
        <f t="shared" si="37"/>
        <v>300</v>
      </c>
      <c r="C238" s="36">
        <v>30.0</v>
      </c>
      <c r="D238" s="37">
        <f t="shared" si="38"/>
        <v>300</v>
      </c>
      <c r="E238" s="41"/>
      <c r="F238" s="41">
        <v>1.5</v>
      </c>
      <c r="G238" s="40"/>
      <c r="H238" s="40"/>
      <c r="I238" s="41"/>
      <c r="J238" s="40"/>
      <c r="K238" s="41"/>
      <c r="L238" s="41"/>
      <c r="M238" s="41"/>
      <c r="N238" s="37">
        <f t="shared" si="39"/>
        <v>1.5</v>
      </c>
      <c r="O238" s="40"/>
      <c r="P238" s="40"/>
      <c r="Q238" s="67"/>
      <c r="R238" s="42">
        <f t="shared" si="40"/>
        <v>0</v>
      </c>
      <c r="S238" s="45">
        <f t="shared" si="41"/>
        <v>298.5</v>
      </c>
      <c r="T238" s="33">
        <f t="shared" si="42"/>
        <v>14</v>
      </c>
      <c r="U238" s="65"/>
      <c r="V238" s="3"/>
      <c r="W238" s="3"/>
      <c r="X238" s="3"/>
      <c r="Y238" s="3"/>
      <c r="Z238" s="3"/>
    </row>
    <row r="239">
      <c r="A239" s="102" t="s">
        <v>245</v>
      </c>
      <c r="B239" s="24">
        <f t="shared" si="37"/>
        <v>300</v>
      </c>
      <c r="C239" s="36">
        <v>30.0</v>
      </c>
      <c r="D239" s="37">
        <f t="shared" si="38"/>
        <v>300</v>
      </c>
      <c r="E239" s="41"/>
      <c r="F239" s="41"/>
      <c r="G239" s="40"/>
      <c r="H239" s="40"/>
      <c r="I239" s="41"/>
      <c r="J239" s="38"/>
      <c r="K239" s="41"/>
      <c r="L239" s="41"/>
      <c r="M239" s="44"/>
      <c r="N239" s="37">
        <f t="shared" si="39"/>
        <v>0</v>
      </c>
      <c r="O239" s="40"/>
      <c r="P239" s="40"/>
      <c r="Q239" s="67">
        <v>2.5</v>
      </c>
      <c r="R239" s="42">
        <f t="shared" si="40"/>
        <v>2.5</v>
      </c>
      <c r="S239" s="45">
        <f t="shared" si="41"/>
        <v>302.5</v>
      </c>
      <c r="T239" s="33">
        <f t="shared" si="42"/>
        <v>2</v>
      </c>
      <c r="U239" s="3"/>
      <c r="V239" s="3"/>
      <c r="W239" s="3"/>
      <c r="X239" s="3"/>
      <c r="Y239" s="3"/>
      <c r="Z239" s="3"/>
    </row>
    <row r="240">
      <c r="A240" s="102" t="s">
        <v>246</v>
      </c>
      <c r="B240" s="24">
        <f t="shared" si="37"/>
        <v>300</v>
      </c>
      <c r="C240" s="36">
        <v>30.0</v>
      </c>
      <c r="D240" s="37">
        <f t="shared" si="38"/>
        <v>300</v>
      </c>
      <c r="E240" s="41"/>
      <c r="F240" s="41"/>
      <c r="G240" s="40"/>
      <c r="H240" s="40"/>
      <c r="I240" s="41"/>
      <c r="J240" s="40"/>
      <c r="K240" s="41">
        <v>0.5</v>
      </c>
      <c r="L240" s="41"/>
      <c r="M240" s="61"/>
      <c r="N240" s="37">
        <f t="shared" si="39"/>
        <v>0.5</v>
      </c>
      <c r="O240" s="40"/>
      <c r="P240" s="40"/>
      <c r="Q240" s="67"/>
      <c r="R240" s="42">
        <f t="shared" si="40"/>
        <v>0</v>
      </c>
      <c r="S240" s="47">
        <f t="shared" si="41"/>
        <v>299.5</v>
      </c>
      <c r="T240" s="33">
        <f t="shared" si="42"/>
        <v>12</v>
      </c>
      <c r="U240" s="65"/>
      <c r="V240" s="3"/>
      <c r="W240" s="3"/>
      <c r="X240" s="3"/>
      <c r="Y240" s="3"/>
      <c r="Z240" s="3"/>
    </row>
    <row r="241">
      <c r="A241" s="102" t="s">
        <v>247</v>
      </c>
      <c r="B241" s="24">
        <f t="shared" si="37"/>
        <v>300</v>
      </c>
      <c r="C241" s="36">
        <v>30.0</v>
      </c>
      <c r="D241" s="37">
        <f t="shared" si="38"/>
        <v>300</v>
      </c>
      <c r="E241" s="41"/>
      <c r="F241" s="41"/>
      <c r="G241" s="40"/>
      <c r="H241" s="40"/>
      <c r="I241" s="41"/>
      <c r="J241" s="38"/>
      <c r="K241" s="41"/>
      <c r="L241" s="41"/>
      <c r="M241" s="41"/>
      <c r="N241" s="37">
        <f t="shared" si="39"/>
        <v>0</v>
      </c>
      <c r="O241" s="40"/>
      <c r="P241" s="40"/>
      <c r="Q241" s="67"/>
      <c r="R241" s="42">
        <f t="shared" si="40"/>
        <v>0</v>
      </c>
      <c r="S241" s="47">
        <f t="shared" si="41"/>
        <v>300</v>
      </c>
      <c r="T241" s="33">
        <f t="shared" si="42"/>
        <v>10</v>
      </c>
      <c r="U241" s="65"/>
      <c r="V241" s="3"/>
      <c r="W241" s="3"/>
      <c r="X241" s="3"/>
      <c r="Y241" s="3"/>
      <c r="Z241" s="3"/>
    </row>
    <row r="242">
      <c r="A242" s="102" t="s">
        <v>248</v>
      </c>
      <c r="B242" s="24">
        <f t="shared" si="37"/>
        <v>300</v>
      </c>
      <c r="C242" s="36">
        <v>30.0</v>
      </c>
      <c r="D242" s="37">
        <f t="shared" si="38"/>
        <v>300</v>
      </c>
      <c r="E242" s="44"/>
      <c r="F242" s="41">
        <v>0.5</v>
      </c>
      <c r="G242" s="40"/>
      <c r="H242" s="40"/>
      <c r="I242" s="41"/>
      <c r="J242" s="40"/>
      <c r="K242" s="41"/>
      <c r="L242" s="44"/>
      <c r="M242" s="41"/>
      <c r="N242" s="37">
        <f t="shared" si="39"/>
        <v>0.5</v>
      </c>
      <c r="O242" s="40"/>
      <c r="P242" s="40"/>
      <c r="Q242" s="67">
        <v>4.0</v>
      </c>
      <c r="R242" s="42">
        <f t="shared" si="40"/>
        <v>4</v>
      </c>
      <c r="S242" s="43">
        <f t="shared" si="41"/>
        <v>303.5</v>
      </c>
      <c r="T242" s="33">
        <f t="shared" si="42"/>
        <v>1</v>
      </c>
      <c r="U242" s="3"/>
      <c r="V242" s="3"/>
      <c r="W242" s="3"/>
      <c r="X242" s="3"/>
      <c r="Y242" s="3"/>
      <c r="Z242" s="3"/>
    </row>
    <row r="243">
      <c r="A243" s="102" t="s">
        <v>249</v>
      </c>
      <c r="B243" s="24">
        <f t="shared" si="37"/>
        <v>300</v>
      </c>
      <c r="C243" s="36">
        <v>30.0</v>
      </c>
      <c r="D243" s="37">
        <f t="shared" si="38"/>
        <v>300</v>
      </c>
      <c r="E243" s="44"/>
      <c r="F243" s="41"/>
      <c r="G243" s="40"/>
      <c r="H243" s="40"/>
      <c r="I243" s="41"/>
      <c r="J243" s="40"/>
      <c r="K243" s="44"/>
      <c r="L243" s="41"/>
      <c r="M243" s="41"/>
      <c r="N243" s="37">
        <f t="shared" si="39"/>
        <v>0</v>
      </c>
      <c r="O243" s="40"/>
      <c r="P243" s="40"/>
      <c r="Q243" s="67">
        <v>1.5</v>
      </c>
      <c r="R243" s="42">
        <f t="shared" si="40"/>
        <v>1.5</v>
      </c>
      <c r="S243" s="45">
        <f t="shared" si="41"/>
        <v>301.5</v>
      </c>
      <c r="T243" s="33">
        <f t="shared" si="42"/>
        <v>3</v>
      </c>
      <c r="U243" s="3"/>
      <c r="V243" s="3"/>
      <c r="W243" s="3"/>
      <c r="X243" s="3"/>
      <c r="Y243" s="3"/>
      <c r="Z243" s="3"/>
    </row>
    <row r="244">
      <c r="A244" s="102" t="s">
        <v>250</v>
      </c>
      <c r="B244" s="24">
        <f t="shared" si="37"/>
        <v>300</v>
      </c>
      <c r="C244" s="36">
        <v>30.0</v>
      </c>
      <c r="D244" s="37">
        <f t="shared" si="38"/>
        <v>300</v>
      </c>
      <c r="E244" s="41"/>
      <c r="F244" s="41"/>
      <c r="G244" s="40"/>
      <c r="H244" s="40"/>
      <c r="I244" s="41"/>
      <c r="J244" s="40"/>
      <c r="K244" s="44"/>
      <c r="L244" s="41"/>
      <c r="M244" s="41"/>
      <c r="N244" s="37">
        <f t="shared" si="39"/>
        <v>0</v>
      </c>
      <c r="O244" s="40"/>
      <c r="P244" s="40"/>
      <c r="Q244" s="67">
        <v>1.5</v>
      </c>
      <c r="R244" s="42">
        <f t="shared" si="40"/>
        <v>1.5</v>
      </c>
      <c r="S244" s="45">
        <f t="shared" si="41"/>
        <v>301.5</v>
      </c>
      <c r="T244" s="33">
        <f t="shared" si="42"/>
        <v>3</v>
      </c>
      <c r="U244" s="3"/>
      <c r="V244" s="3"/>
      <c r="W244" s="3"/>
      <c r="X244" s="3"/>
      <c r="Y244" s="3"/>
      <c r="Z244" s="3"/>
    </row>
    <row r="245">
      <c r="A245" s="102" t="s">
        <v>251</v>
      </c>
      <c r="B245" s="24">
        <f t="shared" si="37"/>
        <v>300</v>
      </c>
      <c r="C245" s="36">
        <v>30.0</v>
      </c>
      <c r="D245" s="37">
        <f t="shared" si="38"/>
        <v>300</v>
      </c>
      <c r="E245" s="44"/>
      <c r="F245" s="41">
        <v>0.5</v>
      </c>
      <c r="G245" s="40"/>
      <c r="H245" s="40"/>
      <c r="I245" s="41"/>
      <c r="J245" s="40"/>
      <c r="K245" s="41"/>
      <c r="L245" s="41"/>
      <c r="M245" s="41"/>
      <c r="N245" s="37">
        <f t="shared" si="39"/>
        <v>0.5</v>
      </c>
      <c r="O245" s="40"/>
      <c r="P245" s="40"/>
      <c r="Q245" s="67">
        <v>1.5</v>
      </c>
      <c r="R245" s="42">
        <f t="shared" si="40"/>
        <v>1.5</v>
      </c>
      <c r="S245" s="47">
        <f t="shared" si="41"/>
        <v>301</v>
      </c>
      <c r="T245" s="33">
        <f t="shared" si="42"/>
        <v>6</v>
      </c>
      <c r="U245" s="3"/>
      <c r="V245" s="3"/>
      <c r="W245" s="3"/>
      <c r="X245" s="3"/>
      <c r="Y245" s="3"/>
      <c r="Z245" s="3"/>
    </row>
    <row r="246">
      <c r="A246" s="103" t="s">
        <v>252</v>
      </c>
      <c r="B246" s="49">
        <f t="shared" si="37"/>
        <v>300</v>
      </c>
      <c r="C246" s="50">
        <v>30.0</v>
      </c>
      <c r="D246" s="51">
        <f t="shared" si="38"/>
        <v>300</v>
      </c>
      <c r="E246" s="74"/>
      <c r="F246" s="74">
        <v>0.5</v>
      </c>
      <c r="G246" s="53"/>
      <c r="H246" s="53"/>
      <c r="I246" s="74">
        <v>0.5</v>
      </c>
      <c r="J246" s="52"/>
      <c r="K246" s="54"/>
      <c r="L246" s="74"/>
      <c r="M246" s="74"/>
      <c r="N246" s="51">
        <f t="shared" si="39"/>
        <v>1</v>
      </c>
      <c r="O246" s="53"/>
      <c r="P246" s="53"/>
      <c r="Q246" s="69">
        <v>1.5</v>
      </c>
      <c r="R246" s="56">
        <f t="shared" si="40"/>
        <v>1.5</v>
      </c>
      <c r="S246" s="57">
        <f t="shared" si="41"/>
        <v>300.5</v>
      </c>
      <c r="T246" s="58">
        <f t="shared" si="42"/>
        <v>8</v>
      </c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104"/>
      <c r="F247" s="104"/>
      <c r="G247" s="3"/>
      <c r="H247" s="3"/>
      <c r="I247" s="104"/>
      <c r="J247" s="3"/>
      <c r="K247" s="104"/>
      <c r="L247" s="104"/>
      <c r="M247" s="61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63"/>
      <c r="B248" s="63" t="s">
        <v>37</v>
      </c>
      <c r="C248" s="3"/>
      <c r="D248" s="3"/>
      <c r="E248" s="104"/>
      <c r="F248" s="108" t="s">
        <v>368</v>
      </c>
      <c r="G248" s="63"/>
      <c r="H248" s="3"/>
      <c r="I248" s="105"/>
      <c r="J248" s="62"/>
      <c r="K248" s="104"/>
      <c r="L248" s="104"/>
      <c r="M248" s="71"/>
      <c r="N248" s="85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63"/>
      <c r="B249" s="65" t="s">
        <v>369</v>
      </c>
      <c r="C249" s="3"/>
      <c r="D249" s="3"/>
      <c r="E249" s="104"/>
      <c r="F249" s="104"/>
      <c r="G249" s="63"/>
      <c r="H249" s="3"/>
      <c r="I249" s="105"/>
      <c r="J249" s="62"/>
      <c r="K249" s="104"/>
      <c r="L249" s="104"/>
      <c r="M249" s="71"/>
      <c r="N249" s="108" t="s">
        <v>370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63"/>
      <c r="B250" s="65" t="s">
        <v>371</v>
      </c>
      <c r="C250" s="3"/>
      <c r="D250" s="3"/>
      <c r="E250" s="104"/>
      <c r="F250" s="104"/>
      <c r="G250" s="63"/>
      <c r="H250" s="3"/>
      <c r="I250" s="105"/>
      <c r="J250" s="62"/>
      <c r="K250" s="104"/>
      <c r="L250" s="104"/>
      <c r="M250" s="71"/>
      <c r="N250" s="79" t="s">
        <v>372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65" t="s">
        <v>373</v>
      </c>
      <c r="C251" s="3"/>
      <c r="D251" s="3"/>
      <c r="E251" s="104"/>
      <c r="F251" s="104"/>
      <c r="G251" s="63"/>
      <c r="H251" s="3"/>
      <c r="I251" s="104"/>
      <c r="J251" s="3"/>
      <c r="K251" s="105"/>
      <c r="L251" s="106"/>
      <c r="M251" s="71"/>
      <c r="N251" s="79" t="s">
        <v>374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65" t="s">
        <v>375</v>
      </c>
      <c r="C252" s="3"/>
      <c r="D252" s="3"/>
      <c r="E252" s="104"/>
      <c r="F252" s="104"/>
      <c r="G252" s="63"/>
      <c r="H252" s="3"/>
      <c r="I252" s="104"/>
      <c r="J252" s="3"/>
      <c r="K252" s="104"/>
      <c r="L252" s="104"/>
      <c r="M252" s="72"/>
      <c r="N252" s="82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65"/>
      <c r="C253" s="3"/>
      <c r="D253" s="3"/>
      <c r="E253" s="104"/>
      <c r="F253" s="104"/>
      <c r="G253" s="3"/>
      <c r="H253" s="3"/>
      <c r="I253" s="104"/>
      <c r="J253" s="3"/>
      <c r="K253" s="104"/>
      <c r="L253" s="104"/>
      <c r="M253" s="71"/>
      <c r="N253" s="70" t="s">
        <v>376</v>
      </c>
      <c r="O253" s="7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65" t="s">
        <v>377</v>
      </c>
      <c r="C254" s="3"/>
      <c r="D254" s="3"/>
      <c r="E254" s="104"/>
      <c r="F254" s="104"/>
      <c r="G254" s="3"/>
      <c r="H254" s="3"/>
      <c r="I254" s="104"/>
      <c r="J254" s="3"/>
      <c r="K254" s="104"/>
      <c r="L254" s="104"/>
      <c r="M254" s="71"/>
      <c r="N254" s="81" t="s">
        <v>378</v>
      </c>
      <c r="O254" s="7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65" t="s">
        <v>361</v>
      </c>
      <c r="C255" s="3"/>
      <c r="D255" s="3"/>
      <c r="E255" s="104"/>
      <c r="F255" s="104"/>
      <c r="G255" s="3"/>
      <c r="H255" s="3"/>
      <c r="I255" s="104"/>
      <c r="J255" s="3"/>
      <c r="K255" s="104"/>
      <c r="L255" s="104"/>
      <c r="M255" s="71"/>
      <c r="N255" s="94" t="s">
        <v>379</v>
      </c>
      <c r="O255" s="7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65" t="s">
        <v>380</v>
      </c>
      <c r="C256" s="3"/>
      <c r="D256" s="3"/>
      <c r="E256" s="104"/>
      <c r="F256" s="104"/>
      <c r="G256" s="3"/>
      <c r="H256" s="3"/>
      <c r="I256" s="104"/>
      <c r="J256" s="3"/>
      <c r="K256" s="104"/>
      <c r="L256" s="104"/>
      <c r="M256" s="72"/>
      <c r="N256" s="81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104"/>
      <c r="F257" s="104"/>
      <c r="G257" s="3"/>
      <c r="H257" s="3"/>
      <c r="I257" s="104"/>
      <c r="J257" s="3"/>
      <c r="K257" s="104"/>
      <c r="L257" s="104"/>
      <c r="M257" s="61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104"/>
      <c r="F258" s="104"/>
      <c r="G258" s="3"/>
      <c r="H258" s="3"/>
      <c r="I258" s="104"/>
      <c r="J258" s="3"/>
      <c r="K258" s="104"/>
      <c r="L258" s="104"/>
      <c r="M258" s="61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104"/>
      <c r="F259" s="104"/>
      <c r="G259" s="3"/>
      <c r="H259" s="3"/>
      <c r="I259" s="104"/>
      <c r="J259" s="3"/>
      <c r="K259" s="104"/>
      <c r="L259" s="104"/>
      <c r="M259" s="61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" t="s">
        <v>381</v>
      </c>
      <c r="U260" s="3"/>
      <c r="V260" s="3"/>
      <c r="W260" s="3"/>
      <c r="X260" s="3"/>
      <c r="Y260" s="3"/>
      <c r="Z260" s="3"/>
    </row>
    <row r="261">
      <c r="A261" s="1" t="s">
        <v>135</v>
      </c>
      <c r="U261" s="3"/>
      <c r="V261" s="3"/>
      <c r="W261" s="3"/>
      <c r="X261" s="3"/>
      <c r="Y261" s="3"/>
      <c r="Z261" s="3"/>
    </row>
    <row r="262">
      <c r="A262" s="2"/>
      <c r="B262" s="4"/>
      <c r="C262" s="2"/>
      <c r="D262" s="2"/>
      <c r="E262" s="98"/>
      <c r="F262" s="98"/>
      <c r="G262" s="2"/>
      <c r="H262" s="2"/>
      <c r="I262" s="98"/>
      <c r="J262" s="2"/>
      <c r="K262" s="98"/>
      <c r="L262" s="98"/>
      <c r="M262" s="7"/>
      <c r="N262" s="2"/>
      <c r="O262" s="2"/>
      <c r="P262" s="2"/>
      <c r="Q262" s="2"/>
      <c r="R262" s="2"/>
      <c r="S262" s="2"/>
      <c r="T262" s="2"/>
      <c r="U262" s="3"/>
      <c r="V262" s="3"/>
      <c r="W262" s="3"/>
      <c r="X262" s="3"/>
      <c r="Y262" s="3"/>
      <c r="Z262" s="3"/>
    </row>
    <row r="263">
      <c r="A263" s="8" t="s">
        <v>2</v>
      </c>
      <c r="B263" s="9" t="s">
        <v>3</v>
      </c>
      <c r="C263" s="10"/>
      <c r="D263" s="11"/>
      <c r="E263" s="99" t="s">
        <v>4</v>
      </c>
      <c r="F263" s="10"/>
      <c r="G263" s="10"/>
      <c r="H263" s="10"/>
      <c r="I263" s="10"/>
      <c r="J263" s="10"/>
      <c r="K263" s="10"/>
      <c r="L263" s="10"/>
      <c r="M263" s="10"/>
      <c r="N263" s="11"/>
      <c r="O263" s="13" t="s">
        <v>5</v>
      </c>
      <c r="P263" s="10"/>
      <c r="Q263" s="10"/>
      <c r="R263" s="11"/>
      <c r="S263" s="14" t="s">
        <v>6</v>
      </c>
      <c r="T263" s="14" t="s">
        <v>7</v>
      </c>
      <c r="U263" s="3"/>
      <c r="V263" s="3"/>
      <c r="W263" s="3"/>
      <c r="X263" s="3"/>
      <c r="Y263" s="3"/>
      <c r="Z263" s="3"/>
    </row>
    <row r="264">
      <c r="A264" s="15"/>
      <c r="B264" s="16" t="s">
        <v>8</v>
      </c>
      <c r="C264" s="17" t="s">
        <v>9</v>
      </c>
      <c r="D264" s="14" t="s">
        <v>10</v>
      </c>
      <c r="E264" s="18" t="s">
        <v>11</v>
      </c>
      <c r="F264" s="18" t="s">
        <v>12</v>
      </c>
      <c r="G264" s="17" t="s">
        <v>13</v>
      </c>
      <c r="H264" s="17" t="s">
        <v>14</v>
      </c>
      <c r="I264" s="18" t="s">
        <v>15</v>
      </c>
      <c r="J264" s="17" t="s">
        <v>16</v>
      </c>
      <c r="K264" s="18" t="s">
        <v>17</v>
      </c>
      <c r="L264" s="18" t="s">
        <v>18</v>
      </c>
      <c r="M264" s="18" t="s">
        <v>19</v>
      </c>
      <c r="N264" s="14" t="s">
        <v>20</v>
      </c>
      <c r="O264" s="17" t="s">
        <v>21</v>
      </c>
      <c r="P264" s="17" t="s">
        <v>22</v>
      </c>
      <c r="Q264" s="17" t="s">
        <v>23</v>
      </c>
      <c r="R264" s="14" t="s">
        <v>24</v>
      </c>
      <c r="S264" s="19"/>
      <c r="T264" s="19"/>
      <c r="U264" s="3"/>
      <c r="V264" s="3"/>
      <c r="W264" s="3"/>
      <c r="X264" s="3"/>
      <c r="Y264" s="3"/>
      <c r="Z264" s="3"/>
    </row>
    <row r="265">
      <c r="A265" s="20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3"/>
      <c r="V265" s="3"/>
      <c r="W265" s="3"/>
      <c r="X265" s="3"/>
      <c r="Y265" s="3"/>
      <c r="Z265" s="3"/>
    </row>
    <row r="266">
      <c r="A266" s="100">
        <v>11.0</v>
      </c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3"/>
      <c r="V266" s="3"/>
      <c r="W266" s="3"/>
      <c r="X266" s="3"/>
      <c r="Y266" s="3"/>
      <c r="Z266" s="3"/>
    </row>
    <row r="267">
      <c r="A267" s="101" t="s">
        <v>239</v>
      </c>
      <c r="B267" s="24">
        <f t="shared" ref="B267:B280" si="43">300-U267</f>
        <v>300</v>
      </c>
      <c r="C267" s="25">
        <v>30.0</v>
      </c>
      <c r="D267" s="26">
        <f t="shared" ref="D267:D280" si="44">B267</f>
        <v>300</v>
      </c>
      <c r="E267" s="30"/>
      <c r="F267" s="73"/>
      <c r="G267" s="29"/>
      <c r="H267" s="29"/>
      <c r="I267" s="73"/>
      <c r="J267" s="29"/>
      <c r="K267" s="30"/>
      <c r="L267" s="73"/>
      <c r="M267" s="73"/>
      <c r="N267" s="26">
        <f t="shared" ref="N267:N280" si="45">SUM(E267:M267)</f>
        <v>0</v>
      </c>
      <c r="O267" s="29"/>
      <c r="P267" s="29"/>
      <c r="Q267" s="83"/>
      <c r="R267" s="31">
        <f t="shared" ref="R267:R280" si="46">SUM(O267:Q267)</f>
        <v>0</v>
      </c>
      <c r="S267" s="32">
        <f t="shared" ref="S267:S280" si="47">D267-N267+R267</f>
        <v>300</v>
      </c>
      <c r="T267" s="33">
        <f t="shared" ref="T267:T280" si="48">RANK(S267,$S$267:$S$280,0)</f>
        <v>1</v>
      </c>
      <c r="U267" s="3"/>
      <c r="V267" s="3"/>
      <c r="W267" s="3"/>
      <c r="X267" s="3"/>
      <c r="Y267" s="3"/>
      <c r="Z267" s="3"/>
    </row>
    <row r="268">
      <c r="A268" s="102" t="s">
        <v>240</v>
      </c>
      <c r="B268" s="24">
        <f t="shared" si="43"/>
        <v>300</v>
      </c>
      <c r="C268" s="36">
        <v>30.0</v>
      </c>
      <c r="D268" s="37">
        <f t="shared" si="44"/>
        <v>300</v>
      </c>
      <c r="E268" s="41"/>
      <c r="F268" s="41"/>
      <c r="G268" s="40"/>
      <c r="H268" s="40"/>
      <c r="I268" s="41"/>
      <c r="J268" s="40"/>
      <c r="K268" s="44"/>
      <c r="L268" s="41"/>
      <c r="M268" s="41"/>
      <c r="N268" s="37">
        <f t="shared" si="45"/>
        <v>0</v>
      </c>
      <c r="O268" s="40"/>
      <c r="P268" s="40"/>
      <c r="Q268" s="67"/>
      <c r="R268" s="42">
        <f t="shared" si="46"/>
        <v>0</v>
      </c>
      <c r="S268" s="43">
        <f t="shared" si="47"/>
        <v>300</v>
      </c>
      <c r="T268" s="33">
        <f t="shared" si="48"/>
        <v>1</v>
      </c>
      <c r="U268" s="3"/>
      <c r="V268" s="3"/>
      <c r="W268" s="3"/>
      <c r="X268" s="3"/>
      <c r="Y268" s="3"/>
      <c r="Z268" s="3"/>
    </row>
    <row r="269">
      <c r="A269" s="102" t="s">
        <v>241</v>
      </c>
      <c r="B269" s="24">
        <f t="shared" si="43"/>
        <v>299</v>
      </c>
      <c r="C269" s="36">
        <v>30.0</v>
      </c>
      <c r="D269" s="37">
        <f t="shared" si="44"/>
        <v>299</v>
      </c>
      <c r="E269" s="41"/>
      <c r="F269" s="41"/>
      <c r="G269" s="40"/>
      <c r="H269" s="40"/>
      <c r="I269" s="41"/>
      <c r="J269" s="40"/>
      <c r="K269" s="41"/>
      <c r="L269" s="41"/>
      <c r="M269" s="41"/>
      <c r="N269" s="37">
        <f t="shared" si="45"/>
        <v>0</v>
      </c>
      <c r="O269" s="40"/>
      <c r="P269" s="40"/>
      <c r="Q269" s="67"/>
      <c r="R269" s="42">
        <f t="shared" si="46"/>
        <v>0</v>
      </c>
      <c r="S269" s="45">
        <f t="shared" si="47"/>
        <v>299</v>
      </c>
      <c r="T269" s="33">
        <f t="shared" si="48"/>
        <v>6</v>
      </c>
      <c r="U269" s="65">
        <v>1.0</v>
      </c>
      <c r="V269" s="3"/>
      <c r="W269" s="3"/>
      <c r="X269" s="3"/>
      <c r="Y269" s="3"/>
      <c r="Z269" s="3"/>
    </row>
    <row r="270">
      <c r="A270" s="102" t="s">
        <v>242</v>
      </c>
      <c r="B270" s="24">
        <f t="shared" si="43"/>
        <v>300</v>
      </c>
      <c r="C270" s="36">
        <v>30.0</v>
      </c>
      <c r="D270" s="37">
        <f t="shared" si="44"/>
        <v>300</v>
      </c>
      <c r="E270" s="41"/>
      <c r="F270" s="41">
        <v>0.5</v>
      </c>
      <c r="G270" s="40"/>
      <c r="H270" s="40"/>
      <c r="I270" s="41"/>
      <c r="J270" s="40"/>
      <c r="K270" s="44"/>
      <c r="L270" s="41"/>
      <c r="M270" s="41"/>
      <c r="N270" s="37">
        <f t="shared" si="45"/>
        <v>0.5</v>
      </c>
      <c r="O270" s="40"/>
      <c r="P270" s="40"/>
      <c r="Q270" s="67"/>
      <c r="R270" s="42">
        <f t="shared" si="46"/>
        <v>0</v>
      </c>
      <c r="S270" s="45">
        <f t="shared" si="47"/>
        <v>299.5</v>
      </c>
      <c r="T270" s="33">
        <f t="shared" si="48"/>
        <v>5</v>
      </c>
      <c r="U270" s="3"/>
      <c r="V270" s="3"/>
      <c r="W270" s="3"/>
      <c r="X270" s="3"/>
      <c r="Y270" s="3"/>
      <c r="Z270" s="3"/>
    </row>
    <row r="271">
      <c r="A271" s="102" t="s">
        <v>243</v>
      </c>
      <c r="B271" s="24">
        <f t="shared" si="43"/>
        <v>299</v>
      </c>
      <c r="C271" s="36">
        <v>30.0</v>
      </c>
      <c r="D271" s="37">
        <f t="shared" si="44"/>
        <v>299</v>
      </c>
      <c r="E271" s="41">
        <v>1.5</v>
      </c>
      <c r="F271" s="41"/>
      <c r="G271" s="40"/>
      <c r="H271" s="40"/>
      <c r="I271" s="41"/>
      <c r="J271" s="40"/>
      <c r="K271" s="44"/>
      <c r="L271" s="44"/>
      <c r="M271" s="41"/>
      <c r="N271" s="37">
        <f t="shared" si="45"/>
        <v>1.5</v>
      </c>
      <c r="O271" s="40"/>
      <c r="P271" s="40"/>
      <c r="Q271" s="67"/>
      <c r="R271" s="42">
        <f t="shared" si="46"/>
        <v>0</v>
      </c>
      <c r="S271" s="45">
        <f t="shared" si="47"/>
        <v>297.5</v>
      </c>
      <c r="T271" s="33">
        <f t="shared" si="48"/>
        <v>9</v>
      </c>
      <c r="U271" s="65">
        <v>1.0</v>
      </c>
      <c r="V271" s="3"/>
      <c r="W271" s="3"/>
      <c r="X271" s="3"/>
      <c r="Y271" s="3"/>
      <c r="Z271" s="3"/>
    </row>
    <row r="272">
      <c r="A272" s="102" t="s">
        <v>244</v>
      </c>
      <c r="B272" s="24">
        <f t="shared" si="43"/>
        <v>298</v>
      </c>
      <c r="C272" s="36">
        <v>30.0</v>
      </c>
      <c r="D272" s="37">
        <f t="shared" si="44"/>
        <v>298</v>
      </c>
      <c r="E272" s="41">
        <v>1.5</v>
      </c>
      <c r="F272" s="41">
        <v>1.0</v>
      </c>
      <c r="G272" s="40"/>
      <c r="H272" s="40"/>
      <c r="I272" s="41"/>
      <c r="J272" s="40"/>
      <c r="K272" s="41"/>
      <c r="L272" s="41"/>
      <c r="M272" s="41"/>
      <c r="N272" s="37">
        <f t="shared" si="45"/>
        <v>2.5</v>
      </c>
      <c r="O272" s="40"/>
      <c r="P272" s="40"/>
      <c r="Q272" s="67"/>
      <c r="R272" s="42">
        <f t="shared" si="46"/>
        <v>0</v>
      </c>
      <c r="S272" s="45">
        <f t="shared" si="47"/>
        <v>295.5</v>
      </c>
      <c r="T272" s="33">
        <f t="shared" si="48"/>
        <v>13</v>
      </c>
      <c r="U272" s="65">
        <v>2.0</v>
      </c>
      <c r="V272" s="3"/>
      <c r="W272" s="3"/>
      <c r="X272" s="3"/>
      <c r="Y272" s="3"/>
      <c r="Z272" s="3"/>
    </row>
    <row r="273">
      <c r="A273" s="102" t="s">
        <v>245</v>
      </c>
      <c r="B273" s="24">
        <f t="shared" si="43"/>
        <v>300</v>
      </c>
      <c r="C273" s="36">
        <v>30.0</v>
      </c>
      <c r="D273" s="37">
        <f t="shared" si="44"/>
        <v>300</v>
      </c>
      <c r="E273" s="41"/>
      <c r="F273" s="41">
        <v>2.5</v>
      </c>
      <c r="G273" s="40"/>
      <c r="H273" s="40"/>
      <c r="I273" s="41"/>
      <c r="J273" s="38"/>
      <c r="K273" s="41">
        <v>0.5</v>
      </c>
      <c r="L273" s="41"/>
      <c r="M273" s="44"/>
      <c r="N273" s="37">
        <f t="shared" si="45"/>
        <v>3</v>
      </c>
      <c r="O273" s="40"/>
      <c r="P273" s="40"/>
      <c r="Q273" s="67"/>
      <c r="R273" s="42">
        <f t="shared" si="46"/>
        <v>0</v>
      </c>
      <c r="S273" s="45">
        <f t="shared" si="47"/>
        <v>297</v>
      </c>
      <c r="T273" s="33">
        <f t="shared" si="48"/>
        <v>11</v>
      </c>
      <c r="U273" s="3"/>
      <c r="V273" s="3"/>
      <c r="W273" s="3"/>
      <c r="X273" s="3"/>
      <c r="Y273" s="3"/>
      <c r="Z273" s="3"/>
    </row>
    <row r="274">
      <c r="A274" s="102" t="s">
        <v>246</v>
      </c>
      <c r="B274" s="24">
        <f t="shared" si="43"/>
        <v>299</v>
      </c>
      <c r="C274" s="36">
        <v>30.0</v>
      </c>
      <c r="D274" s="37">
        <f t="shared" si="44"/>
        <v>299</v>
      </c>
      <c r="E274" s="41">
        <v>1.5</v>
      </c>
      <c r="F274" s="41"/>
      <c r="G274" s="40"/>
      <c r="H274" s="40"/>
      <c r="I274" s="41"/>
      <c r="J274" s="40"/>
      <c r="K274" s="41">
        <v>1.0</v>
      </c>
      <c r="L274" s="41"/>
      <c r="M274" s="61"/>
      <c r="N274" s="37">
        <f t="shared" si="45"/>
        <v>2.5</v>
      </c>
      <c r="O274" s="40"/>
      <c r="P274" s="40"/>
      <c r="Q274" s="67"/>
      <c r="R274" s="42">
        <f t="shared" si="46"/>
        <v>0</v>
      </c>
      <c r="S274" s="47">
        <f t="shared" si="47"/>
        <v>296.5</v>
      </c>
      <c r="T274" s="33">
        <f t="shared" si="48"/>
        <v>12</v>
      </c>
      <c r="U274" s="65">
        <v>1.0</v>
      </c>
      <c r="V274" s="3"/>
      <c r="W274" s="3"/>
      <c r="X274" s="3"/>
      <c r="Y274" s="3"/>
      <c r="Z274" s="3"/>
    </row>
    <row r="275">
      <c r="A275" s="102" t="s">
        <v>247</v>
      </c>
      <c r="B275" s="24">
        <f t="shared" si="43"/>
        <v>297</v>
      </c>
      <c r="C275" s="36">
        <v>30.0</v>
      </c>
      <c r="D275" s="37">
        <f t="shared" si="44"/>
        <v>297</v>
      </c>
      <c r="E275" s="41">
        <v>1.5</v>
      </c>
      <c r="F275" s="41"/>
      <c r="G275" s="40"/>
      <c r="H275" s="40"/>
      <c r="I275" s="41">
        <v>0.5</v>
      </c>
      <c r="J275" s="38"/>
      <c r="K275" s="41"/>
      <c r="L275" s="41"/>
      <c r="M275" s="41"/>
      <c r="N275" s="37">
        <f t="shared" si="45"/>
        <v>2</v>
      </c>
      <c r="O275" s="40"/>
      <c r="P275" s="40"/>
      <c r="Q275" s="67"/>
      <c r="R275" s="42">
        <f t="shared" si="46"/>
        <v>0</v>
      </c>
      <c r="S275" s="47">
        <f t="shared" si="47"/>
        <v>295</v>
      </c>
      <c r="T275" s="33">
        <f t="shared" si="48"/>
        <v>14</v>
      </c>
      <c r="U275" s="65">
        <v>3.0</v>
      </c>
      <c r="V275" s="3"/>
      <c r="W275" s="3"/>
      <c r="X275" s="3"/>
      <c r="Y275" s="3"/>
      <c r="Z275" s="3"/>
    </row>
    <row r="276">
      <c r="A276" s="102" t="s">
        <v>248</v>
      </c>
      <c r="B276" s="24">
        <f t="shared" si="43"/>
        <v>300</v>
      </c>
      <c r="C276" s="36">
        <v>30.0</v>
      </c>
      <c r="D276" s="37">
        <f t="shared" si="44"/>
        <v>300</v>
      </c>
      <c r="E276" s="44"/>
      <c r="F276" s="41"/>
      <c r="G276" s="40"/>
      <c r="H276" s="40"/>
      <c r="I276" s="41"/>
      <c r="J276" s="40"/>
      <c r="K276" s="41"/>
      <c r="L276" s="44"/>
      <c r="M276" s="41"/>
      <c r="N276" s="37">
        <f t="shared" si="45"/>
        <v>0</v>
      </c>
      <c r="O276" s="40"/>
      <c r="P276" s="40"/>
      <c r="Q276" s="67"/>
      <c r="R276" s="42">
        <f t="shared" si="46"/>
        <v>0</v>
      </c>
      <c r="S276" s="43">
        <f t="shared" si="47"/>
        <v>300</v>
      </c>
      <c r="T276" s="33">
        <f t="shared" si="48"/>
        <v>1</v>
      </c>
      <c r="U276" s="3"/>
      <c r="V276" s="3"/>
      <c r="W276" s="3"/>
      <c r="X276" s="3"/>
      <c r="Y276" s="3"/>
      <c r="Z276" s="3"/>
    </row>
    <row r="277">
      <c r="A277" s="102" t="s">
        <v>249</v>
      </c>
      <c r="B277" s="24">
        <f t="shared" si="43"/>
        <v>299</v>
      </c>
      <c r="C277" s="36">
        <v>30.0</v>
      </c>
      <c r="D277" s="37">
        <f t="shared" si="44"/>
        <v>299</v>
      </c>
      <c r="E277" s="44"/>
      <c r="F277" s="113"/>
      <c r="G277" s="40"/>
      <c r="H277" s="40"/>
      <c r="I277" s="41"/>
      <c r="J277" s="40"/>
      <c r="K277" s="44"/>
      <c r="L277" s="41"/>
      <c r="M277" s="41"/>
      <c r="N277" s="37">
        <f t="shared" si="45"/>
        <v>0</v>
      </c>
      <c r="O277" s="40"/>
      <c r="P277" s="40"/>
      <c r="Q277" s="67"/>
      <c r="R277" s="42">
        <f t="shared" si="46"/>
        <v>0</v>
      </c>
      <c r="S277" s="45">
        <f t="shared" si="47"/>
        <v>299</v>
      </c>
      <c r="T277" s="33">
        <f t="shared" si="48"/>
        <v>6</v>
      </c>
      <c r="U277" s="65">
        <v>1.0</v>
      </c>
      <c r="V277" s="3"/>
      <c r="W277" s="3"/>
      <c r="X277" s="3"/>
      <c r="Y277" s="3"/>
      <c r="Z277" s="3"/>
    </row>
    <row r="278">
      <c r="A278" s="102" t="s">
        <v>250</v>
      </c>
      <c r="B278" s="24">
        <f t="shared" si="43"/>
        <v>300</v>
      </c>
      <c r="C278" s="36">
        <v>30.0</v>
      </c>
      <c r="D278" s="37">
        <f t="shared" si="44"/>
        <v>300</v>
      </c>
      <c r="E278" s="114"/>
      <c r="F278" s="115"/>
      <c r="G278" s="116"/>
      <c r="H278" s="40"/>
      <c r="I278" s="41"/>
      <c r="J278" s="40"/>
      <c r="K278" s="44"/>
      <c r="L278" s="41"/>
      <c r="M278" s="41"/>
      <c r="N278" s="37">
        <f t="shared" si="45"/>
        <v>0</v>
      </c>
      <c r="O278" s="40"/>
      <c r="P278" s="40"/>
      <c r="Q278" s="67"/>
      <c r="R278" s="42">
        <f t="shared" si="46"/>
        <v>0</v>
      </c>
      <c r="S278" s="45">
        <f t="shared" si="47"/>
        <v>300</v>
      </c>
      <c r="T278" s="33">
        <f t="shared" si="48"/>
        <v>1</v>
      </c>
      <c r="U278" s="3"/>
      <c r="V278" s="3"/>
      <c r="W278" s="3"/>
      <c r="X278" s="3"/>
      <c r="Y278" s="3"/>
      <c r="Z278" s="3"/>
    </row>
    <row r="279">
      <c r="A279" s="102" t="s">
        <v>251</v>
      </c>
      <c r="B279" s="24">
        <f t="shared" si="43"/>
        <v>299</v>
      </c>
      <c r="C279" s="36">
        <v>30.0</v>
      </c>
      <c r="D279" s="37">
        <f t="shared" si="44"/>
        <v>299</v>
      </c>
      <c r="E279" s="117"/>
      <c r="F279" s="115"/>
      <c r="G279" s="116"/>
      <c r="H279" s="40"/>
      <c r="I279" s="41"/>
      <c r="J279" s="40"/>
      <c r="K279" s="41"/>
      <c r="L279" s="41"/>
      <c r="M279" s="41"/>
      <c r="N279" s="37">
        <f t="shared" si="45"/>
        <v>0</v>
      </c>
      <c r="O279" s="40"/>
      <c r="P279" s="40"/>
      <c r="Q279" s="67"/>
      <c r="R279" s="42">
        <f t="shared" si="46"/>
        <v>0</v>
      </c>
      <c r="S279" s="47">
        <f t="shared" si="47"/>
        <v>299</v>
      </c>
      <c r="T279" s="33">
        <f t="shared" si="48"/>
        <v>6</v>
      </c>
      <c r="U279" s="65">
        <v>1.0</v>
      </c>
      <c r="V279" s="3"/>
      <c r="W279" s="3"/>
      <c r="X279" s="3"/>
      <c r="Y279" s="3"/>
      <c r="Z279" s="3"/>
    </row>
    <row r="280">
      <c r="A280" s="103" t="s">
        <v>252</v>
      </c>
      <c r="B280" s="49">
        <f t="shared" si="43"/>
        <v>300</v>
      </c>
      <c r="C280" s="50">
        <v>30.0</v>
      </c>
      <c r="D280" s="51">
        <f t="shared" si="44"/>
        <v>300</v>
      </c>
      <c r="E280" s="74"/>
      <c r="F280" s="118">
        <v>1.0</v>
      </c>
      <c r="G280" s="53"/>
      <c r="H280" s="53"/>
      <c r="I280" s="74">
        <v>1.0</v>
      </c>
      <c r="J280" s="52"/>
      <c r="K280" s="54"/>
      <c r="L280" s="74"/>
      <c r="M280" s="74">
        <v>0.5</v>
      </c>
      <c r="N280" s="51">
        <f t="shared" si="45"/>
        <v>2.5</v>
      </c>
      <c r="O280" s="53"/>
      <c r="P280" s="53"/>
      <c r="Q280" s="69"/>
      <c r="R280" s="56">
        <f t="shared" si="46"/>
        <v>0</v>
      </c>
      <c r="S280" s="57">
        <f t="shared" si="47"/>
        <v>297.5</v>
      </c>
      <c r="T280" s="33">
        <f t="shared" si="48"/>
        <v>9</v>
      </c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104"/>
      <c r="F281" s="104"/>
      <c r="G281" s="3"/>
      <c r="H281" s="3"/>
      <c r="I281" s="104"/>
      <c r="J281" s="3"/>
      <c r="K281" s="104"/>
      <c r="L281" s="104"/>
      <c r="M281" s="61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63"/>
      <c r="B282" s="63" t="s">
        <v>37</v>
      </c>
      <c r="C282" s="3"/>
      <c r="D282" s="3"/>
      <c r="E282" s="104"/>
      <c r="F282" s="108"/>
      <c r="G282" s="63"/>
      <c r="H282" s="3"/>
      <c r="I282" s="105"/>
      <c r="J282" s="62" t="s">
        <v>342</v>
      </c>
      <c r="K282" s="104"/>
      <c r="L282" s="104"/>
      <c r="M282" s="71"/>
      <c r="N282" s="85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63"/>
      <c r="B283" s="65" t="s">
        <v>382</v>
      </c>
      <c r="C283" s="3"/>
      <c r="D283" s="3"/>
      <c r="E283" s="104"/>
      <c r="F283" s="104"/>
      <c r="G283" s="63"/>
      <c r="H283" s="3"/>
      <c r="I283" s="105"/>
      <c r="J283" s="62" t="s">
        <v>383</v>
      </c>
      <c r="K283" s="104"/>
      <c r="L283" s="104"/>
      <c r="M283" s="71"/>
      <c r="N283" s="79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65" t="s">
        <v>384</v>
      </c>
      <c r="C284" s="3"/>
      <c r="D284" s="3"/>
      <c r="E284" s="104"/>
      <c r="F284" s="104"/>
      <c r="G284" s="63"/>
      <c r="H284" s="3"/>
      <c r="I284" s="104"/>
      <c r="J284" s="3"/>
      <c r="K284" s="105"/>
      <c r="L284" s="106"/>
      <c r="M284" s="71"/>
      <c r="N284" s="79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65" t="s">
        <v>385</v>
      </c>
      <c r="C285" s="3"/>
      <c r="D285" s="3"/>
      <c r="E285" s="104"/>
      <c r="F285" s="104"/>
      <c r="G285" s="63"/>
      <c r="H285" s="3"/>
      <c r="I285" s="104"/>
      <c r="J285" s="3"/>
      <c r="K285" s="104"/>
      <c r="L285" s="104"/>
      <c r="M285" s="72"/>
      <c r="N285" s="82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65" t="s">
        <v>386</v>
      </c>
      <c r="C286" s="3"/>
      <c r="D286" s="3"/>
      <c r="E286" s="104"/>
      <c r="F286" s="104"/>
      <c r="G286" s="63"/>
      <c r="H286" s="3"/>
      <c r="I286" s="104"/>
      <c r="J286" s="3"/>
      <c r="K286" s="104"/>
      <c r="L286" s="104"/>
      <c r="M286" s="72"/>
      <c r="N286" s="82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65" t="s">
        <v>387</v>
      </c>
      <c r="C287" s="3"/>
      <c r="D287" s="3"/>
      <c r="E287" s="104"/>
      <c r="F287" s="104"/>
      <c r="G287" s="63"/>
      <c r="H287" s="3"/>
      <c r="I287" s="104"/>
      <c r="J287" s="3"/>
      <c r="K287" s="104"/>
      <c r="L287" s="104"/>
      <c r="M287" s="72"/>
      <c r="N287" s="82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65" t="s">
        <v>388</v>
      </c>
      <c r="C288" s="3"/>
      <c r="D288" s="3"/>
      <c r="E288" s="104"/>
      <c r="F288" s="104"/>
      <c r="G288" s="3"/>
      <c r="H288" s="3"/>
      <c r="I288" s="104"/>
      <c r="J288" s="3"/>
      <c r="K288" s="104"/>
      <c r="L288" s="104"/>
      <c r="M288" s="71"/>
      <c r="N288" s="70"/>
      <c r="O288" s="7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65" t="s">
        <v>389</v>
      </c>
      <c r="C289" s="3"/>
      <c r="D289" s="3"/>
      <c r="E289" s="104"/>
      <c r="F289" s="104"/>
      <c r="G289" s="3"/>
      <c r="H289" s="3"/>
      <c r="I289" s="104"/>
      <c r="J289" s="3"/>
      <c r="K289" s="104"/>
      <c r="L289" s="104"/>
      <c r="M289" s="72"/>
      <c r="N289" s="81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104"/>
      <c r="F290" s="104"/>
      <c r="G290" s="3"/>
      <c r="H290" s="3"/>
      <c r="I290" s="104"/>
      <c r="J290" s="3"/>
      <c r="K290" s="104"/>
      <c r="L290" s="104"/>
      <c r="M290" s="61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104"/>
      <c r="F291" s="104"/>
      <c r="G291" s="3"/>
      <c r="H291" s="3"/>
      <c r="I291" s="104"/>
      <c r="J291" s="3"/>
      <c r="K291" s="104"/>
      <c r="L291" s="104"/>
      <c r="M291" s="61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104"/>
      <c r="F292" s="104"/>
      <c r="G292" s="3"/>
      <c r="H292" s="3"/>
      <c r="I292" s="104"/>
      <c r="J292" s="3"/>
      <c r="K292" s="104"/>
      <c r="L292" s="104"/>
      <c r="M292" s="61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" t="s">
        <v>390</v>
      </c>
      <c r="U293" s="3"/>
      <c r="V293" s="3"/>
      <c r="W293" s="3"/>
      <c r="X293" s="3"/>
      <c r="Y293" s="3"/>
      <c r="Z293" s="3"/>
    </row>
    <row r="294">
      <c r="A294" s="1" t="s">
        <v>147</v>
      </c>
      <c r="U294" s="3"/>
      <c r="V294" s="3"/>
      <c r="W294" s="3"/>
      <c r="X294" s="3"/>
      <c r="Y294" s="3"/>
      <c r="Z294" s="3"/>
    </row>
    <row r="295">
      <c r="A295" s="2"/>
      <c r="B295" s="4"/>
      <c r="C295" s="2"/>
      <c r="D295" s="2"/>
      <c r="E295" s="98"/>
      <c r="F295" s="98"/>
      <c r="G295" s="2"/>
      <c r="H295" s="2"/>
      <c r="I295" s="98"/>
      <c r="J295" s="2"/>
      <c r="K295" s="98"/>
      <c r="L295" s="98"/>
      <c r="M295" s="7"/>
      <c r="N295" s="2"/>
      <c r="O295" s="2"/>
      <c r="P295" s="2"/>
      <c r="Q295" s="2"/>
      <c r="R295" s="2"/>
      <c r="S295" s="2"/>
      <c r="T295" s="2"/>
      <c r="U295" s="3"/>
      <c r="V295" s="3"/>
      <c r="W295" s="3"/>
      <c r="X295" s="3"/>
      <c r="Y295" s="3"/>
      <c r="Z295" s="3"/>
    </row>
    <row r="296">
      <c r="A296" s="8" t="s">
        <v>2</v>
      </c>
      <c r="B296" s="9" t="s">
        <v>3</v>
      </c>
      <c r="C296" s="10"/>
      <c r="D296" s="11"/>
      <c r="E296" s="99" t="s">
        <v>4</v>
      </c>
      <c r="F296" s="10"/>
      <c r="G296" s="10"/>
      <c r="H296" s="10"/>
      <c r="I296" s="10"/>
      <c r="J296" s="10"/>
      <c r="K296" s="10"/>
      <c r="L296" s="10"/>
      <c r="M296" s="10"/>
      <c r="N296" s="11"/>
      <c r="O296" s="13" t="s">
        <v>5</v>
      </c>
      <c r="P296" s="10"/>
      <c r="Q296" s="10"/>
      <c r="R296" s="11"/>
      <c r="S296" s="14" t="s">
        <v>6</v>
      </c>
      <c r="T296" s="14" t="s">
        <v>7</v>
      </c>
      <c r="U296" s="3"/>
      <c r="V296" s="3"/>
      <c r="W296" s="3"/>
      <c r="X296" s="3"/>
      <c r="Y296" s="3"/>
      <c r="Z296" s="3"/>
    </row>
    <row r="297">
      <c r="A297" s="15"/>
      <c r="B297" s="16" t="s">
        <v>8</v>
      </c>
      <c r="C297" s="17" t="s">
        <v>9</v>
      </c>
      <c r="D297" s="14" t="s">
        <v>10</v>
      </c>
      <c r="E297" s="18" t="s">
        <v>11</v>
      </c>
      <c r="F297" s="18" t="s">
        <v>12</v>
      </c>
      <c r="G297" s="17" t="s">
        <v>13</v>
      </c>
      <c r="H297" s="17" t="s">
        <v>14</v>
      </c>
      <c r="I297" s="18" t="s">
        <v>15</v>
      </c>
      <c r="J297" s="17" t="s">
        <v>16</v>
      </c>
      <c r="K297" s="18" t="s">
        <v>17</v>
      </c>
      <c r="L297" s="18" t="s">
        <v>18</v>
      </c>
      <c r="M297" s="18" t="s">
        <v>19</v>
      </c>
      <c r="N297" s="14" t="s">
        <v>20</v>
      </c>
      <c r="O297" s="17" t="s">
        <v>21</v>
      </c>
      <c r="P297" s="17" t="s">
        <v>22</v>
      </c>
      <c r="Q297" s="17" t="s">
        <v>23</v>
      </c>
      <c r="R297" s="14" t="s">
        <v>24</v>
      </c>
      <c r="S297" s="19"/>
      <c r="T297" s="19"/>
      <c r="U297" s="3"/>
      <c r="V297" s="3"/>
      <c r="W297" s="3"/>
      <c r="X297" s="3"/>
      <c r="Y297" s="3"/>
      <c r="Z297" s="3"/>
    </row>
    <row r="298">
      <c r="A298" s="20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3"/>
      <c r="V298" s="3"/>
      <c r="W298" s="3"/>
      <c r="X298" s="3"/>
      <c r="Y298" s="3"/>
      <c r="Z298" s="3"/>
    </row>
    <row r="299">
      <c r="A299" s="100">
        <v>11.0</v>
      </c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3"/>
      <c r="V299" s="3"/>
      <c r="W299" s="3"/>
      <c r="X299" s="3"/>
      <c r="Y299" s="3"/>
      <c r="Z299" s="3"/>
    </row>
    <row r="300">
      <c r="A300" s="101" t="s">
        <v>239</v>
      </c>
      <c r="B300" s="24">
        <f t="shared" ref="B300:B313" si="49">300-U300</f>
        <v>299</v>
      </c>
      <c r="C300" s="25">
        <v>30.0</v>
      </c>
      <c r="D300" s="26">
        <f t="shared" ref="D300:D313" si="50">B300</f>
        <v>299</v>
      </c>
      <c r="E300" s="30"/>
      <c r="F300" s="73"/>
      <c r="G300" s="29"/>
      <c r="H300" s="29"/>
      <c r="I300" s="73"/>
      <c r="J300" s="29"/>
      <c r="K300" s="30"/>
      <c r="L300" s="73"/>
      <c r="M300" s="73"/>
      <c r="N300" s="26">
        <f t="shared" ref="N300:N313" si="51">SUM(E300:M300)</f>
        <v>0</v>
      </c>
      <c r="O300" s="29"/>
      <c r="P300" s="29"/>
      <c r="Q300" s="83"/>
      <c r="R300" s="31">
        <f t="shared" ref="R300:R313" si="52">SUM(O300:Q300)</f>
        <v>0</v>
      </c>
      <c r="S300" s="32">
        <f t="shared" ref="S300:S313" si="53">D300-N300+R300</f>
        <v>299</v>
      </c>
      <c r="T300" s="33">
        <f t="shared" ref="T300:T313" si="54">RANK(S300,$S$300:$S$313,0)</f>
        <v>5</v>
      </c>
      <c r="U300" s="65">
        <v>1.0</v>
      </c>
      <c r="V300" s="3"/>
      <c r="W300" s="3"/>
      <c r="X300" s="3"/>
      <c r="Y300" s="3"/>
      <c r="Z300" s="3"/>
    </row>
    <row r="301">
      <c r="A301" s="102" t="s">
        <v>240</v>
      </c>
      <c r="B301" s="24">
        <f t="shared" si="49"/>
        <v>300</v>
      </c>
      <c r="C301" s="36">
        <v>30.0</v>
      </c>
      <c r="D301" s="37">
        <f t="shared" si="50"/>
        <v>300</v>
      </c>
      <c r="E301" s="41"/>
      <c r="F301" s="41"/>
      <c r="G301" s="40"/>
      <c r="H301" s="40"/>
      <c r="I301" s="41"/>
      <c r="J301" s="40"/>
      <c r="K301" s="44"/>
      <c r="L301" s="41">
        <v>0.5</v>
      </c>
      <c r="M301" s="41">
        <v>0.5</v>
      </c>
      <c r="N301" s="37">
        <f t="shared" si="51"/>
        <v>1</v>
      </c>
      <c r="O301" s="40"/>
      <c r="P301" s="40"/>
      <c r="Q301" s="67"/>
      <c r="R301" s="42">
        <f t="shared" si="52"/>
        <v>0</v>
      </c>
      <c r="S301" s="43">
        <f t="shared" si="53"/>
        <v>299</v>
      </c>
      <c r="T301" s="33">
        <f t="shared" si="54"/>
        <v>5</v>
      </c>
      <c r="U301" s="3"/>
      <c r="V301" s="3"/>
      <c r="W301" s="3"/>
      <c r="X301" s="3"/>
      <c r="Y301" s="3"/>
      <c r="Z301" s="3"/>
    </row>
    <row r="302">
      <c r="A302" s="102" t="s">
        <v>241</v>
      </c>
      <c r="B302" s="24">
        <f t="shared" si="49"/>
        <v>297</v>
      </c>
      <c r="C302" s="36">
        <v>30.0</v>
      </c>
      <c r="D302" s="37">
        <f t="shared" si="50"/>
        <v>297</v>
      </c>
      <c r="E302" s="41"/>
      <c r="F302" s="41">
        <v>2.0</v>
      </c>
      <c r="G302" s="40"/>
      <c r="H302" s="40"/>
      <c r="I302" s="41">
        <v>0.5</v>
      </c>
      <c r="J302" s="40"/>
      <c r="K302" s="41"/>
      <c r="L302" s="41"/>
      <c r="M302" s="41"/>
      <c r="N302" s="37">
        <f t="shared" si="51"/>
        <v>2.5</v>
      </c>
      <c r="O302" s="40"/>
      <c r="P302" s="40"/>
      <c r="Q302" s="67"/>
      <c r="R302" s="42">
        <f t="shared" si="52"/>
        <v>0</v>
      </c>
      <c r="S302" s="45">
        <f t="shared" si="53"/>
        <v>294.5</v>
      </c>
      <c r="T302" s="33">
        <f t="shared" si="54"/>
        <v>14</v>
      </c>
      <c r="U302" s="65">
        <v>3.0</v>
      </c>
      <c r="V302" s="3"/>
      <c r="W302" s="3"/>
      <c r="X302" s="3"/>
      <c r="Y302" s="3"/>
      <c r="Z302" s="3"/>
    </row>
    <row r="303">
      <c r="A303" s="102" t="s">
        <v>242</v>
      </c>
      <c r="B303" s="24">
        <f t="shared" si="49"/>
        <v>300</v>
      </c>
      <c r="C303" s="36">
        <v>30.0</v>
      </c>
      <c r="D303" s="37">
        <f t="shared" si="50"/>
        <v>300</v>
      </c>
      <c r="E303" s="41"/>
      <c r="F303" s="41"/>
      <c r="G303" s="40"/>
      <c r="H303" s="40"/>
      <c r="I303" s="41"/>
      <c r="J303" s="40"/>
      <c r="K303" s="44"/>
      <c r="L303" s="41">
        <v>1.0</v>
      </c>
      <c r="M303" s="41"/>
      <c r="N303" s="37">
        <f t="shared" si="51"/>
        <v>1</v>
      </c>
      <c r="O303" s="40"/>
      <c r="P303" s="40"/>
      <c r="Q303" s="67"/>
      <c r="R303" s="42">
        <f t="shared" si="52"/>
        <v>0</v>
      </c>
      <c r="S303" s="45">
        <f t="shared" si="53"/>
        <v>299</v>
      </c>
      <c r="T303" s="33">
        <f t="shared" si="54"/>
        <v>5</v>
      </c>
      <c r="U303" s="3"/>
      <c r="V303" s="3"/>
      <c r="W303" s="3"/>
      <c r="X303" s="3"/>
      <c r="Y303" s="3"/>
      <c r="Z303" s="3"/>
    </row>
    <row r="304">
      <c r="A304" s="102" t="s">
        <v>243</v>
      </c>
      <c r="B304" s="24">
        <f t="shared" si="49"/>
        <v>299</v>
      </c>
      <c r="C304" s="36">
        <v>30.0</v>
      </c>
      <c r="D304" s="37">
        <f t="shared" si="50"/>
        <v>299</v>
      </c>
      <c r="E304" s="41"/>
      <c r="F304" s="41"/>
      <c r="G304" s="40"/>
      <c r="H304" s="40"/>
      <c r="I304" s="41"/>
      <c r="J304" s="40"/>
      <c r="K304" s="44"/>
      <c r="L304" s="41">
        <v>0.5</v>
      </c>
      <c r="M304" s="41"/>
      <c r="N304" s="37">
        <f t="shared" si="51"/>
        <v>0.5</v>
      </c>
      <c r="O304" s="40"/>
      <c r="P304" s="40"/>
      <c r="Q304" s="67"/>
      <c r="R304" s="42">
        <f t="shared" si="52"/>
        <v>0</v>
      </c>
      <c r="S304" s="45">
        <f t="shared" si="53"/>
        <v>298.5</v>
      </c>
      <c r="T304" s="33">
        <f t="shared" si="54"/>
        <v>8</v>
      </c>
      <c r="U304" s="65">
        <v>1.0</v>
      </c>
      <c r="V304" s="3"/>
      <c r="W304" s="3"/>
      <c r="X304" s="3"/>
      <c r="Y304" s="3"/>
      <c r="Z304" s="3"/>
    </row>
    <row r="305">
      <c r="A305" s="102" t="s">
        <v>244</v>
      </c>
      <c r="B305" s="24">
        <f t="shared" si="49"/>
        <v>299</v>
      </c>
      <c r="C305" s="36">
        <v>30.0</v>
      </c>
      <c r="D305" s="37">
        <f t="shared" si="50"/>
        <v>299</v>
      </c>
      <c r="E305" s="41">
        <v>1.5</v>
      </c>
      <c r="F305" s="41">
        <v>0.5</v>
      </c>
      <c r="G305" s="40"/>
      <c r="H305" s="40"/>
      <c r="I305" s="41"/>
      <c r="J305" s="40"/>
      <c r="K305" s="41"/>
      <c r="L305" s="41"/>
      <c r="M305" s="41">
        <v>0.5</v>
      </c>
      <c r="N305" s="37">
        <f t="shared" si="51"/>
        <v>2.5</v>
      </c>
      <c r="O305" s="40"/>
      <c r="P305" s="40"/>
      <c r="Q305" s="67"/>
      <c r="R305" s="42">
        <f t="shared" si="52"/>
        <v>0</v>
      </c>
      <c r="S305" s="45">
        <f t="shared" si="53"/>
        <v>296.5</v>
      </c>
      <c r="T305" s="33">
        <f t="shared" si="54"/>
        <v>13</v>
      </c>
      <c r="U305" s="65">
        <v>1.0</v>
      </c>
      <c r="V305" s="3"/>
      <c r="W305" s="3"/>
      <c r="X305" s="3"/>
      <c r="Y305" s="3"/>
      <c r="Z305" s="3"/>
    </row>
    <row r="306">
      <c r="A306" s="102" t="s">
        <v>245</v>
      </c>
      <c r="B306" s="24">
        <f t="shared" si="49"/>
        <v>300</v>
      </c>
      <c r="C306" s="36">
        <v>30.0</v>
      </c>
      <c r="D306" s="37">
        <f t="shared" si="50"/>
        <v>300</v>
      </c>
      <c r="E306" s="41"/>
      <c r="F306" s="41">
        <v>1.0</v>
      </c>
      <c r="G306" s="40"/>
      <c r="H306" s="40"/>
      <c r="I306" s="41"/>
      <c r="J306" s="38"/>
      <c r="K306" s="41"/>
      <c r="L306" s="41">
        <v>0.5</v>
      </c>
      <c r="M306" s="41">
        <v>0.5</v>
      </c>
      <c r="N306" s="37">
        <f t="shared" si="51"/>
        <v>2</v>
      </c>
      <c r="O306" s="40"/>
      <c r="P306" s="40"/>
      <c r="Q306" s="67"/>
      <c r="R306" s="42">
        <f t="shared" si="52"/>
        <v>0</v>
      </c>
      <c r="S306" s="45">
        <f t="shared" si="53"/>
        <v>298</v>
      </c>
      <c r="T306" s="33">
        <f t="shared" si="54"/>
        <v>11</v>
      </c>
      <c r="U306" s="3"/>
      <c r="V306" s="3"/>
      <c r="W306" s="3"/>
      <c r="X306" s="3"/>
      <c r="Y306" s="3"/>
      <c r="Z306" s="3"/>
    </row>
    <row r="307">
      <c r="A307" s="102" t="s">
        <v>246</v>
      </c>
      <c r="B307" s="24">
        <f t="shared" si="49"/>
        <v>300</v>
      </c>
      <c r="C307" s="36">
        <v>30.0</v>
      </c>
      <c r="D307" s="37">
        <f t="shared" si="50"/>
        <v>300</v>
      </c>
      <c r="E307" s="41">
        <v>1.5</v>
      </c>
      <c r="F307" s="41"/>
      <c r="G307" s="40"/>
      <c r="H307" s="40"/>
      <c r="I307" s="41"/>
      <c r="J307" s="40"/>
      <c r="K307" s="41"/>
      <c r="L307" s="41"/>
      <c r="M307" s="61"/>
      <c r="N307" s="37">
        <f t="shared" si="51"/>
        <v>1.5</v>
      </c>
      <c r="O307" s="40"/>
      <c r="P307" s="40"/>
      <c r="Q307" s="67"/>
      <c r="R307" s="42">
        <f t="shared" si="52"/>
        <v>0</v>
      </c>
      <c r="S307" s="47">
        <f t="shared" si="53"/>
        <v>298.5</v>
      </c>
      <c r="T307" s="33">
        <f t="shared" si="54"/>
        <v>8</v>
      </c>
      <c r="U307" s="65"/>
      <c r="V307" s="3"/>
      <c r="W307" s="3"/>
      <c r="X307" s="3"/>
      <c r="Y307" s="3"/>
      <c r="Z307" s="3"/>
    </row>
    <row r="308">
      <c r="A308" s="102" t="s">
        <v>247</v>
      </c>
      <c r="B308" s="24">
        <f t="shared" si="49"/>
        <v>298</v>
      </c>
      <c r="C308" s="36">
        <v>30.0</v>
      </c>
      <c r="D308" s="37">
        <f t="shared" si="50"/>
        <v>298</v>
      </c>
      <c r="E308" s="41"/>
      <c r="F308" s="41"/>
      <c r="G308" s="40"/>
      <c r="H308" s="40"/>
      <c r="I308" s="41"/>
      <c r="J308" s="38"/>
      <c r="K308" s="41"/>
      <c r="L308" s="41"/>
      <c r="M308" s="41"/>
      <c r="N308" s="37">
        <f t="shared" si="51"/>
        <v>0</v>
      </c>
      <c r="O308" s="40"/>
      <c r="P308" s="40"/>
      <c r="Q308" s="67"/>
      <c r="R308" s="42">
        <f t="shared" si="52"/>
        <v>0</v>
      </c>
      <c r="S308" s="47">
        <f t="shared" si="53"/>
        <v>298</v>
      </c>
      <c r="T308" s="33">
        <f t="shared" si="54"/>
        <v>11</v>
      </c>
      <c r="U308" s="65">
        <v>2.0</v>
      </c>
      <c r="V308" s="3"/>
      <c r="W308" s="3"/>
      <c r="X308" s="3"/>
      <c r="Y308" s="3"/>
      <c r="Z308" s="3"/>
    </row>
    <row r="309">
      <c r="A309" s="102" t="s">
        <v>248</v>
      </c>
      <c r="B309" s="24">
        <f t="shared" si="49"/>
        <v>300</v>
      </c>
      <c r="C309" s="36">
        <v>30.0</v>
      </c>
      <c r="D309" s="37">
        <f t="shared" si="50"/>
        <v>300</v>
      </c>
      <c r="E309" s="44"/>
      <c r="F309" s="41"/>
      <c r="G309" s="40"/>
      <c r="H309" s="40"/>
      <c r="I309" s="41"/>
      <c r="J309" s="40"/>
      <c r="K309" s="41"/>
      <c r="L309" s="44"/>
      <c r="M309" s="41"/>
      <c r="N309" s="37">
        <f t="shared" si="51"/>
        <v>0</v>
      </c>
      <c r="O309" s="40"/>
      <c r="P309" s="40"/>
      <c r="Q309" s="67"/>
      <c r="R309" s="42">
        <f t="shared" si="52"/>
        <v>0</v>
      </c>
      <c r="S309" s="43">
        <f t="shared" si="53"/>
        <v>300</v>
      </c>
      <c r="T309" s="33">
        <f t="shared" si="54"/>
        <v>1</v>
      </c>
      <c r="U309" s="3"/>
      <c r="V309" s="3"/>
      <c r="W309" s="3"/>
      <c r="X309" s="3"/>
      <c r="Y309" s="3"/>
      <c r="Z309" s="3"/>
    </row>
    <row r="310">
      <c r="A310" s="102" t="s">
        <v>249</v>
      </c>
      <c r="B310" s="24">
        <f t="shared" si="49"/>
        <v>300</v>
      </c>
      <c r="C310" s="36">
        <v>30.0</v>
      </c>
      <c r="D310" s="37">
        <f t="shared" si="50"/>
        <v>300</v>
      </c>
      <c r="E310" s="44"/>
      <c r="F310" s="113"/>
      <c r="G310" s="40"/>
      <c r="H310" s="40"/>
      <c r="I310" s="41"/>
      <c r="J310" s="40"/>
      <c r="K310" s="44"/>
      <c r="L310" s="41"/>
      <c r="M310" s="41"/>
      <c r="N310" s="37">
        <f t="shared" si="51"/>
        <v>0</v>
      </c>
      <c r="O310" s="40"/>
      <c r="P310" s="40"/>
      <c r="Q310" s="67"/>
      <c r="R310" s="42">
        <f t="shared" si="52"/>
        <v>0</v>
      </c>
      <c r="S310" s="45">
        <f t="shared" si="53"/>
        <v>300</v>
      </c>
      <c r="T310" s="33">
        <f t="shared" si="54"/>
        <v>1</v>
      </c>
      <c r="U310" s="65"/>
      <c r="V310" s="3"/>
      <c r="W310" s="3"/>
      <c r="X310" s="3"/>
      <c r="Y310" s="3"/>
      <c r="Z310" s="3"/>
    </row>
    <row r="311">
      <c r="A311" s="102" t="s">
        <v>250</v>
      </c>
      <c r="B311" s="24">
        <f t="shared" si="49"/>
        <v>300</v>
      </c>
      <c r="C311" s="36">
        <v>30.0</v>
      </c>
      <c r="D311" s="37">
        <f t="shared" si="50"/>
        <v>300</v>
      </c>
      <c r="E311" s="114"/>
      <c r="F311" s="115"/>
      <c r="G311" s="116"/>
      <c r="H311" s="40"/>
      <c r="I311" s="41"/>
      <c r="J311" s="40"/>
      <c r="K311" s="44"/>
      <c r="L311" s="41"/>
      <c r="M311" s="41"/>
      <c r="N311" s="37">
        <f t="shared" si="51"/>
        <v>0</v>
      </c>
      <c r="O311" s="40"/>
      <c r="P311" s="40"/>
      <c r="Q311" s="67"/>
      <c r="R311" s="42">
        <f t="shared" si="52"/>
        <v>0</v>
      </c>
      <c r="S311" s="45">
        <f t="shared" si="53"/>
        <v>300</v>
      </c>
      <c r="T311" s="33">
        <f t="shared" si="54"/>
        <v>1</v>
      </c>
      <c r="U311" s="3"/>
      <c r="V311" s="3"/>
      <c r="W311" s="3"/>
      <c r="X311" s="3"/>
      <c r="Y311" s="3"/>
      <c r="Z311" s="3"/>
    </row>
    <row r="312">
      <c r="A312" s="102" t="s">
        <v>251</v>
      </c>
      <c r="B312" s="24">
        <f t="shared" si="49"/>
        <v>300</v>
      </c>
      <c r="C312" s="36">
        <v>30.0</v>
      </c>
      <c r="D312" s="37">
        <f t="shared" si="50"/>
        <v>300</v>
      </c>
      <c r="E312" s="117"/>
      <c r="F312" s="115"/>
      <c r="G312" s="116"/>
      <c r="H312" s="40"/>
      <c r="I312" s="41"/>
      <c r="J312" s="40"/>
      <c r="K312" s="41"/>
      <c r="L312" s="41"/>
      <c r="M312" s="41"/>
      <c r="N312" s="37">
        <f t="shared" si="51"/>
        <v>0</v>
      </c>
      <c r="O312" s="40"/>
      <c r="P312" s="40"/>
      <c r="Q312" s="67"/>
      <c r="R312" s="42">
        <f t="shared" si="52"/>
        <v>0</v>
      </c>
      <c r="S312" s="47">
        <f t="shared" si="53"/>
        <v>300</v>
      </c>
      <c r="T312" s="33">
        <f t="shared" si="54"/>
        <v>1</v>
      </c>
      <c r="U312" s="65"/>
      <c r="V312" s="3"/>
      <c r="W312" s="3"/>
      <c r="X312" s="3"/>
      <c r="Y312" s="3"/>
      <c r="Z312" s="3"/>
    </row>
    <row r="313">
      <c r="A313" s="103" t="s">
        <v>252</v>
      </c>
      <c r="B313" s="49">
        <f t="shared" si="49"/>
        <v>300</v>
      </c>
      <c r="C313" s="50">
        <v>30.0</v>
      </c>
      <c r="D313" s="51">
        <f t="shared" si="50"/>
        <v>300</v>
      </c>
      <c r="E313" s="74"/>
      <c r="F313" s="118"/>
      <c r="G313" s="53"/>
      <c r="H313" s="53"/>
      <c r="I313" s="74"/>
      <c r="J313" s="52"/>
      <c r="K313" s="54"/>
      <c r="L313" s="74">
        <v>1.0</v>
      </c>
      <c r="M313" s="74">
        <v>0.5</v>
      </c>
      <c r="N313" s="51">
        <f t="shared" si="51"/>
        <v>1.5</v>
      </c>
      <c r="O313" s="53"/>
      <c r="P313" s="53"/>
      <c r="Q313" s="69"/>
      <c r="R313" s="56">
        <f t="shared" si="52"/>
        <v>0</v>
      </c>
      <c r="S313" s="57">
        <f t="shared" si="53"/>
        <v>298.5</v>
      </c>
      <c r="T313" s="33">
        <f t="shared" si="54"/>
        <v>8</v>
      </c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104"/>
      <c r="F314" s="104"/>
      <c r="G314" s="3"/>
      <c r="H314" s="3"/>
      <c r="I314" s="104"/>
      <c r="J314" s="3"/>
      <c r="K314" s="104"/>
      <c r="L314" s="104"/>
      <c r="M314" s="61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63"/>
      <c r="B315" s="63" t="s">
        <v>37</v>
      </c>
      <c r="C315" s="3"/>
      <c r="D315" s="3"/>
      <c r="E315" s="104"/>
      <c r="F315" s="108"/>
      <c r="G315" s="63"/>
      <c r="H315" s="3"/>
      <c r="I315" s="105"/>
      <c r="J315" s="62" t="s">
        <v>391</v>
      </c>
      <c r="K315" s="104"/>
      <c r="L315" s="104"/>
      <c r="M315" s="71"/>
      <c r="N315" s="85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63"/>
      <c r="B316" s="65" t="s">
        <v>392</v>
      </c>
      <c r="C316" s="3"/>
      <c r="D316" s="3"/>
      <c r="E316" s="104"/>
      <c r="F316" s="108"/>
      <c r="G316" s="63"/>
      <c r="H316" s="3"/>
      <c r="I316" s="105"/>
      <c r="J316" s="62" t="s">
        <v>393</v>
      </c>
      <c r="K316" s="104"/>
      <c r="L316" s="104"/>
      <c r="M316" s="71"/>
      <c r="N316" s="85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63"/>
      <c r="B317" s="65" t="s">
        <v>394</v>
      </c>
      <c r="C317" s="3"/>
      <c r="D317" s="3"/>
      <c r="E317" s="104"/>
      <c r="F317" s="104"/>
      <c r="G317" s="63"/>
      <c r="H317" s="3"/>
      <c r="I317" s="105"/>
      <c r="J317" s="62"/>
      <c r="K317" s="104"/>
      <c r="L317" s="104"/>
      <c r="M317" s="71"/>
      <c r="N317" s="79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65" t="s">
        <v>395</v>
      </c>
      <c r="C318" s="3"/>
      <c r="D318" s="3"/>
      <c r="E318" s="104"/>
      <c r="F318" s="104"/>
      <c r="G318" s="63"/>
      <c r="H318" s="3"/>
      <c r="I318" s="104"/>
      <c r="J318" s="3"/>
      <c r="K318" s="104"/>
      <c r="L318" s="104"/>
      <c r="M318" s="72"/>
      <c r="N318" s="82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65" t="s">
        <v>396</v>
      </c>
      <c r="C319" s="3"/>
      <c r="D319" s="3"/>
      <c r="E319" s="104"/>
      <c r="F319" s="104"/>
      <c r="G319" s="63"/>
      <c r="H319" s="3"/>
      <c r="I319" s="104"/>
      <c r="J319" s="3"/>
      <c r="K319" s="104"/>
      <c r="L319" s="104"/>
      <c r="M319" s="72"/>
      <c r="N319" s="82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65" t="s">
        <v>397</v>
      </c>
      <c r="C320" s="3"/>
      <c r="D320" s="3"/>
      <c r="E320" s="104"/>
      <c r="F320" s="104"/>
      <c r="G320" s="63"/>
      <c r="H320" s="3"/>
      <c r="I320" s="104"/>
      <c r="J320" s="3"/>
      <c r="K320" s="104"/>
      <c r="L320" s="104"/>
      <c r="M320" s="72"/>
      <c r="N320" s="82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65"/>
      <c r="C321" s="3"/>
      <c r="D321" s="3"/>
      <c r="E321" s="104"/>
      <c r="F321" s="104"/>
      <c r="G321" s="3"/>
      <c r="H321" s="3"/>
      <c r="I321" s="104"/>
      <c r="J321" s="3"/>
      <c r="K321" s="104"/>
      <c r="L321" s="104"/>
      <c r="M321" s="71"/>
      <c r="N321" s="70"/>
      <c r="O321" s="7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65" t="s">
        <v>398</v>
      </c>
      <c r="C322" s="3"/>
      <c r="D322" s="3"/>
      <c r="E322" s="104"/>
      <c r="F322" s="104"/>
      <c r="G322" s="3"/>
      <c r="H322" s="3"/>
      <c r="I322" s="104"/>
      <c r="J322" s="3"/>
      <c r="K322" s="104"/>
      <c r="L322" s="104"/>
      <c r="M322" s="61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104"/>
      <c r="F323" s="104"/>
      <c r="G323" s="3"/>
      <c r="H323" s="3"/>
      <c r="I323" s="104"/>
      <c r="J323" s="3"/>
      <c r="K323" s="104"/>
      <c r="L323" s="104"/>
      <c r="M323" s="61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104"/>
      <c r="F324" s="104"/>
      <c r="G324" s="3"/>
      <c r="H324" s="3"/>
      <c r="I324" s="104"/>
      <c r="J324" s="3"/>
      <c r="K324" s="104"/>
      <c r="L324" s="104"/>
      <c r="M324" s="61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104"/>
      <c r="F325" s="104"/>
      <c r="G325" s="3"/>
      <c r="H325" s="3"/>
      <c r="I325" s="104"/>
      <c r="J325" s="3"/>
      <c r="K325" s="104"/>
      <c r="L325" s="104"/>
      <c r="M325" s="61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" t="s">
        <v>399</v>
      </c>
      <c r="U326" s="3"/>
      <c r="V326" s="3"/>
      <c r="W326" s="3"/>
      <c r="X326" s="3"/>
      <c r="Y326" s="3"/>
      <c r="Z326" s="3"/>
    </row>
    <row r="327">
      <c r="A327" s="1" t="s">
        <v>158</v>
      </c>
      <c r="U327" s="3"/>
      <c r="V327" s="3"/>
      <c r="W327" s="3"/>
      <c r="X327" s="3"/>
      <c r="Y327" s="3"/>
      <c r="Z327" s="3"/>
    </row>
    <row r="328">
      <c r="A328" s="2"/>
      <c r="B328" s="4"/>
      <c r="C328" s="2"/>
      <c r="D328" s="2"/>
      <c r="E328" s="98"/>
      <c r="F328" s="98"/>
      <c r="G328" s="2"/>
      <c r="H328" s="2"/>
      <c r="I328" s="98"/>
      <c r="J328" s="2"/>
      <c r="K328" s="98"/>
      <c r="L328" s="98"/>
      <c r="M328" s="7"/>
      <c r="N328" s="2"/>
      <c r="O328" s="2"/>
      <c r="P328" s="2"/>
      <c r="Q328" s="2"/>
      <c r="R328" s="2"/>
      <c r="S328" s="2"/>
      <c r="T328" s="2"/>
      <c r="U328" s="3"/>
      <c r="V328" s="3"/>
      <c r="W328" s="3"/>
      <c r="X328" s="3"/>
      <c r="Y328" s="3"/>
      <c r="Z328" s="3"/>
    </row>
    <row r="329">
      <c r="A329" s="8" t="s">
        <v>2</v>
      </c>
      <c r="B329" s="9" t="s">
        <v>3</v>
      </c>
      <c r="C329" s="10"/>
      <c r="D329" s="11"/>
      <c r="E329" s="99" t="s">
        <v>4</v>
      </c>
      <c r="F329" s="10"/>
      <c r="G329" s="10"/>
      <c r="H329" s="10"/>
      <c r="I329" s="10"/>
      <c r="J329" s="10"/>
      <c r="K329" s="10"/>
      <c r="L329" s="10"/>
      <c r="M329" s="10"/>
      <c r="N329" s="11"/>
      <c r="O329" s="13" t="s">
        <v>5</v>
      </c>
      <c r="P329" s="10"/>
      <c r="Q329" s="10"/>
      <c r="R329" s="11"/>
      <c r="S329" s="14" t="s">
        <v>6</v>
      </c>
      <c r="T329" s="14" t="s">
        <v>7</v>
      </c>
      <c r="U329" s="3"/>
      <c r="V329" s="3"/>
      <c r="W329" s="3"/>
      <c r="X329" s="3"/>
      <c r="Y329" s="3"/>
      <c r="Z329" s="3"/>
    </row>
    <row r="330">
      <c r="A330" s="15"/>
      <c r="B330" s="16" t="s">
        <v>8</v>
      </c>
      <c r="C330" s="17" t="s">
        <v>9</v>
      </c>
      <c r="D330" s="14" t="s">
        <v>10</v>
      </c>
      <c r="E330" s="18" t="s">
        <v>11</v>
      </c>
      <c r="F330" s="18" t="s">
        <v>12</v>
      </c>
      <c r="G330" s="17" t="s">
        <v>13</v>
      </c>
      <c r="H330" s="17" t="s">
        <v>14</v>
      </c>
      <c r="I330" s="18" t="s">
        <v>15</v>
      </c>
      <c r="J330" s="17" t="s">
        <v>16</v>
      </c>
      <c r="K330" s="18" t="s">
        <v>17</v>
      </c>
      <c r="L330" s="18" t="s">
        <v>18</v>
      </c>
      <c r="M330" s="18" t="s">
        <v>19</v>
      </c>
      <c r="N330" s="14" t="s">
        <v>20</v>
      </c>
      <c r="O330" s="17" t="s">
        <v>21</v>
      </c>
      <c r="P330" s="17" t="s">
        <v>22</v>
      </c>
      <c r="Q330" s="17" t="s">
        <v>23</v>
      </c>
      <c r="R330" s="14" t="s">
        <v>24</v>
      </c>
      <c r="S330" s="19"/>
      <c r="T330" s="19"/>
      <c r="U330" s="3"/>
      <c r="V330" s="3"/>
      <c r="W330" s="3"/>
      <c r="X330" s="3"/>
      <c r="Y330" s="3"/>
      <c r="Z330" s="3"/>
    </row>
    <row r="331">
      <c r="A331" s="20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3"/>
      <c r="V331" s="3"/>
      <c r="W331" s="3"/>
      <c r="X331" s="3"/>
      <c r="Y331" s="3"/>
      <c r="Z331" s="3"/>
    </row>
    <row r="332">
      <c r="A332" s="100">
        <v>11.0</v>
      </c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3"/>
      <c r="V332" s="3"/>
      <c r="W332" s="3"/>
      <c r="X332" s="3"/>
      <c r="Y332" s="3"/>
      <c r="Z332" s="3"/>
    </row>
    <row r="333">
      <c r="A333" s="101" t="s">
        <v>239</v>
      </c>
      <c r="B333" s="24">
        <f t="shared" ref="B333:B346" si="55">300-U333</f>
        <v>299</v>
      </c>
      <c r="C333" s="25">
        <v>30.0</v>
      </c>
      <c r="D333" s="26">
        <f t="shared" ref="D333:D346" si="56">B333</f>
        <v>299</v>
      </c>
      <c r="E333" s="30"/>
      <c r="F333" s="73"/>
      <c r="G333" s="29"/>
      <c r="H333" s="29"/>
      <c r="I333" s="73">
        <v>1.0</v>
      </c>
      <c r="J333" s="29"/>
      <c r="K333" s="30"/>
      <c r="L333" s="73"/>
      <c r="M333" s="73"/>
      <c r="N333" s="26">
        <f t="shared" ref="N333:N346" si="57">SUM(E333:M333)</f>
        <v>1</v>
      </c>
      <c r="O333" s="29"/>
      <c r="P333" s="29"/>
      <c r="Q333" s="83">
        <v>2.0</v>
      </c>
      <c r="R333" s="31">
        <f t="shared" ref="R333:R346" si="58">SUM(O333:Q333)</f>
        <v>2</v>
      </c>
      <c r="S333" s="32">
        <f t="shared" ref="S333:S346" si="59">D333-N333+R333</f>
        <v>300</v>
      </c>
      <c r="T333" s="33">
        <f t="shared" ref="T333:T346" si="60">RANK(S333,$S$333:$S$346,0)</f>
        <v>8</v>
      </c>
      <c r="U333" s="65">
        <v>1.0</v>
      </c>
      <c r="V333" s="3"/>
      <c r="W333" s="3"/>
      <c r="X333" s="3"/>
      <c r="Y333" s="3"/>
      <c r="Z333" s="3"/>
    </row>
    <row r="334">
      <c r="A334" s="102" t="s">
        <v>240</v>
      </c>
      <c r="B334" s="24">
        <f t="shared" si="55"/>
        <v>299</v>
      </c>
      <c r="C334" s="36">
        <v>30.0</v>
      </c>
      <c r="D334" s="37">
        <f t="shared" si="56"/>
        <v>299</v>
      </c>
      <c r="E334" s="41"/>
      <c r="F334" s="41">
        <v>1.0</v>
      </c>
      <c r="G334" s="40"/>
      <c r="H334" s="40"/>
      <c r="I334" s="41"/>
      <c r="J334" s="40"/>
      <c r="K334" s="44"/>
      <c r="L334" s="41"/>
      <c r="M334" s="41"/>
      <c r="N334" s="37">
        <f t="shared" si="57"/>
        <v>1</v>
      </c>
      <c r="O334" s="40"/>
      <c r="P334" s="40"/>
      <c r="Q334" s="67">
        <v>1.0</v>
      </c>
      <c r="R334" s="42">
        <f t="shared" si="58"/>
        <v>1</v>
      </c>
      <c r="S334" s="43">
        <f t="shared" si="59"/>
        <v>299</v>
      </c>
      <c r="T334" s="33">
        <f t="shared" si="60"/>
        <v>11</v>
      </c>
      <c r="U334" s="65">
        <v>1.0</v>
      </c>
      <c r="V334" s="3"/>
      <c r="W334" s="3"/>
      <c r="X334" s="3"/>
      <c r="Y334" s="3"/>
      <c r="Z334" s="3"/>
    </row>
    <row r="335">
      <c r="A335" s="102" t="s">
        <v>241</v>
      </c>
      <c r="B335" s="24">
        <f t="shared" si="55"/>
        <v>299</v>
      </c>
      <c r="C335" s="36">
        <v>30.0</v>
      </c>
      <c r="D335" s="37">
        <f t="shared" si="56"/>
        <v>299</v>
      </c>
      <c r="E335" s="41"/>
      <c r="F335" s="41">
        <v>0.5</v>
      </c>
      <c r="G335" s="40"/>
      <c r="H335" s="40"/>
      <c r="I335" s="41"/>
      <c r="J335" s="40"/>
      <c r="K335" s="41"/>
      <c r="L335" s="41"/>
      <c r="M335" s="41"/>
      <c r="N335" s="37">
        <f t="shared" si="57"/>
        <v>0.5</v>
      </c>
      <c r="O335" s="40"/>
      <c r="P335" s="40"/>
      <c r="Q335" s="67">
        <v>2.0</v>
      </c>
      <c r="R335" s="42">
        <f t="shared" si="58"/>
        <v>2</v>
      </c>
      <c r="S335" s="45">
        <f t="shared" si="59"/>
        <v>300.5</v>
      </c>
      <c r="T335" s="33">
        <f t="shared" si="60"/>
        <v>6</v>
      </c>
      <c r="U335" s="65">
        <v>1.0</v>
      </c>
      <c r="V335" s="3"/>
      <c r="W335" s="3"/>
      <c r="X335" s="3"/>
      <c r="Y335" s="3"/>
      <c r="Z335" s="3"/>
    </row>
    <row r="336">
      <c r="A336" s="102" t="s">
        <v>242</v>
      </c>
      <c r="B336" s="24">
        <f t="shared" si="55"/>
        <v>300</v>
      </c>
      <c r="C336" s="36">
        <v>30.0</v>
      </c>
      <c r="D336" s="37">
        <f t="shared" si="56"/>
        <v>300</v>
      </c>
      <c r="E336" s="41">
        <v>1.5</v>
      </c>
      <c r="F336" s="41"/>
      <c r="G336" s="40"/>
      <c r="H336" s="40"/>
      <c r="I336" s="41"/>
      <c r="J336" s="40"/>
      <c r="K336" s="44"/>
      <c r="L336" s="41"/>
      <c r="M336" s="41"/>
      <c r="N336" s="37">
        <f t="shared" si="57"/>
        <v>1.5</v>
      </c>
      <c r="O336" s="40"/>
      <c r="P336" s="40"/>
      <c r="Q336" s="67">
        <v>1.0</v>
      </c>
      <c r="R336" s="42">
        <f t="shared" si="58"/>
        <v>1</v>
      </c>
      <c r="S336" s="45">
        <f t="shared" si="59"/>
        <v>299.5</v>
      </c>
      <c r="T336" s="33">
        <f t="shared" si="60"/>
        <v>9</v>
      </c>
      <c r="U336" s="3"/>
      <c r="V336" s="3"/>
      <c r="W336" s="3"/>
      <c r="X336" s="3"/>
      <c r="Y336" s="3"/>
      <c r="Z336" s="3"/>
    </row>
    <row r="337">
      <c r="A337" s="102" t="s">
        <v>243</v>
      </c>
      <c r="B337" s="24">
        <f t="shared" si="55"/>
        <v>300</v>
      </c>
      <c r="C337" s="36">
        <v>30.0</v>
      </c>
      <c r="D337" s="37">
        <f t="shared" si="56"/>
        <v>300</v>
      </c>
      <c r="E337" s="41"/>
      <c r="F337" s="41"/>
      <c r="G337" s="40"/>
      <c r="H337" s="40"/>
      <c r="I337" s="41"/>
      <c r="J337" s="40"/>
      <c r="K337" s="44"/>
      <c r="L337" s="41"/>
      <c r="M337" s="41"/>
      <c r="N337" s="37">
        <f t="shared" si="57"/>
        <v>0</v>
      </c>
      <c r="O337" s="40"/>
      <c r="P337" s="40"/>
      <c r="Q337" s="67">
        <v>2.0</v>
      </c>
      <c r="R337" s="42">
        <f t="shared" si="58"/>
        <v>2</v>
      </c>
      <c r="S337" s="45">
        <f t="shared" si="59"/>
        <v>302</v>
      </c>
      <c r="T337" s="33">
        <f t="shared" si="60"/>
        <v>1</v>
      </c>
      <c r="U337" s="65"/>
      <c r="V337" s="3"/>
      <c r="W337" s="3"/>
      <c r="X337" s="3"/>
      <c r="Y337" s="3"/>
      <c r="Z337" s="3"/>
    </row>
    <row r="338">
      <c r="A338" s="102" t="s">
        <v>244</v>
      </c>
      <c r="B338" s="24">
        <f t="shared" si="55"/>
        <v>300</v>
      </c>
      <c r="C338" s="36">
        <v>30.0</v>
      </c>
      <c r="D338" s="37">
        <f t="shared" si="56"/>
        <v>300</v>
      </c>
      <c r="E338" s="41">
        <v>4.5</v>
      </c>
      <c r="F338" s="41">
        <v>1.0</v>
      </c>
      <c r="G338" s="40"/>
      <c r="H338" s="40"/>
      <c r="I338" s="41">
        <v>0.5</v>
      </c>
      <c r="J338" s="40"/>
      <c r="K338" s="41"/>
      <c r="L338" s="41"/>
      <c r="M338" s="41"/>
      <c r="N338" s="37">
        <f t="shared" si="57"/>
        <v>6</v>
      </c>
      <c r="O338" s="40"/>
      <c r="P338" s="40"/>
      <c r="Q338" s="67"/>
      <c r="R338" s="42">
        <f t="shared" si="58"/>
        <v>0</v>
      </c>
      <c r="S338" s="45">
        <f t="shared" si="59"/>
        <v>294</v>
      </c>
      <c r="T338" s="33">
        <f t="shared" si="60"/>
        <v>13</v>
      </c>
      <c r="U338" s="65"/>
      <c r="V338" s="3"/>
      <c r="W338" s="3"/>
      <c r="X338" s="3"/>
      <c r="Y338" s="3"/>
      <c r="Z338" s="3"/>
    </row>
    <row r="339">
      <c r="A339" s="102" t="s">
        <v>245</v>
      </c>
      <c r="B339" s="24">
        <f t="shared" si="55"/>
        <v>300</v>
      </c>
      <c r="C339" s="36">
        <v>30.0</v>
      </c>
      <c r="D339" s="37">
        <f t="shared" si="56"/>
        <v>300</v>
      </c>
      <c r="E339" s="41"/>
      <c r="F339" s="41">
        <v>0.5</v>
      </c>
      <c r="G339" s="40"/>
      <c r="H339" s="40"/>
      <c r="I339" s="41"/>
      <c r="J339" s="38"/>
      <c r="K339" s="41"/>
      <c r="L339" s="41"/>
      <c r="M339" s="41"/>
      <c r="N339" s="37">
        <f t="shared" si="57"/>
        <v>0.5</v>
      </c>
      <c r="O339" s="40"/>
      <c r="P339" s="40"/>
      <c r="Q339" s="67">
        <v>1.0</v>
      </c>
      <c r="R339" s="42">
        <f t="shared" si="58"/>
        <v>1</v>
      </c>
      <c r="S339" s="45">
        <f t="shared" si="59"/>
        <v>300.5</v>
      </c>
      <c r="T339" s="33">
        <f t="shared" si="60"/>
        <v>6</v>
      </c>
      <c r="U339" s="3"/>
      <c r="V339" s="3"/>
      <c r="W339" s="3"/>
      <c r="X339" s="3"/>
      <c r="Y339" s="3"/>
      <c r="Z339" s="3"/>
    </row>
    <row r="340">
      <c r="A340" s="102" t="s">
        <v>246</v>
      </c>
      <c r="B340" s="24">
        <f t="shared" si="55"/>
        <v>300</v>
      </c>
      <c r="C340" s="36">
        <v>30.0</v>
      </c>
      <c r="D340" s="37">
        <f t="shared" si="56"/>
        <v>300</v>
      </c>
      <c r="E340" s="41">
        <v>6.0</v>
      </c>
      <c r="F340" s="41"/>
      <c r="G340" s="40"/>
      <c r="H340" s="40"/>
      <c r="I340" s="41"/>
      <c r="J340" s="40"/>
      <c r="K340" s="41"/>
      <c r="L340" s="41"/>
      <c r="M340" s="61"/>
      <c r="N340" s="37">
        <f t="shared" si="57"/>
        <v>6</v>
      </c>
      <c r="O340" s="40"/>
      <c r="P340" s="40"/>
      <c r="Q340" s="67"/>
      <c r="R340" s="42">
        <f t="shared" si="58"/>
        <v>0</v>
      </c>
      <c r="S340" s="47">
        <f t="shared" si="59"/>
        <v>294</v>
      </c>
      <c r="T340" s="33">
        <f t="shared" si="60"/>
        <v>13</v>
      </c>
      <c r="U340" s="65"/>
      <c r="V340" s="3"/>
      <c r="W340" s="3"/>
      <c r="X340" s="3"/>
      <c r="Y340" s="3"/>
      <c r="Z340" s="3"/>
    </row>
    <row r="341">
      <c r="A341" s="102" t="s">
        <v>247</v>
      </c>
      <c r="B341" s="24">
        <f t="shared" si="55"/>
        <v>300</v>
      </c>
      <c r="C341" s="36">
        <v>30.0</v>
      </c>
      <c r="D341" s="37">
        <f t="shared" si="56"/>
        <v>300</v>
      </c>
      <c r="E341" s="41"/>
      <c r="F341" s="41"/>
      <c r="G341" s="40"/>
      <c r="H341" s="40"/>
      <c r="I341" s="41"/>
      <c r="J341" s="38"/>
      <c r="K341" s="41"/>
      <c r="L341" s="41"/>
      <c r="M341" s="41"/>
      <c r="N341" s="37">
        <f t="shared" si="57"/>
        <v>0</v>
      </c>
      <c r="O341" s="40"/>
      <c r="P341" s="40"/>
      <c r="Q341" s="67">
        <v>2.0</v>
      </c>
      <c r="R341" s="42">
        <f t="shared" si="58"/>
        <v>2</v>
      </c>
      <c r="S341" s="47">
        <f t="shared" si="59"/>
        <v>302</v>
      </c>
      <c r="T341" s="33">
        <f t="shared" si="60"/>
        <v>1</v>
      </c>
      <c r="U341" s="65"/>
      <c r="V341" s="3"/>
      <c r="W341" s="3"/>
      <c r="X341" s="3"/>
      <c r="Y341" s="3"/>
      <c r="Z341" s="3"/>
    </row>
    <row r="342">
      <c r="A342" s="102" t="s">
        <v>248</v>
      </c>
      <c r="B342" s="24">
        <f t="shared" si="55"/>
        <v>300</v>
      </c>
      <c r="C342" s="36">
        <v>30.0</v>
      </c>
      <c r="D342" s="37">
        <f t="shared" si="56"/>
        <v>300</v>
      </c>
      <c r="E342" s="44"/>
      <c r="F342" s="41"/>
      <c r="G342" s="40"/>
      <c r="H342" s="40"/>
      <c r="I342" s="41"/>
      <c r="J342" s="40"/>
      <c r="K342" s="41"/>
      <c r="L342" s="44"/>
      <c r="M342" s="41"/>
      <c r="N342" s="37">
        <f t="shared" si="57"/>
        <v>0</v>
      </c>
      <c r="O342" s="40"/>
      <c r="P342" s="40"/>
      <c r="Q342" s="67">
        <v>2.0</v>
      </c>
      <c r="R342" s="42">
        <f t="shared" si="58"/>
        <v>2</v>
      </c>
      <c r="S342" s="43">
        <f t="shared" si="59"/>
        <v>302</v>
      </c>
      <c r="T342" s="33">
        <f t="shared" si="60"/>
        <v>1</v>
      </c>
      <c r="U342" s="3"/>
      <c r="V342" s="3"/>
      <c r="W342" s="3"/>
      <c r="X342" s="3"/>
      <c r="Y342" s="3"/>
      <c r="Z342" s="3"/>
    </row>
    <row r="343">
      <c r="A343" s="102" t="s">
        <v>249</v>
      </c>
      <c r="B343" s="24">
        <f t="shared" si="55"/>
        <v>300</v>
      </c>
      <c r="C343" s="36">
        <v>30.0</v>
      </c>
      <c r="D343" s="37">
        <f t="shared" si="56"/>
        <v>300</v>
      </c>
      <c r="E343" s="44"/>
      <c r="F343" s="113">
        <v>0.5</v>
      </c>
      <c r="G343" s="40"/>
      <c r="H343" s="40"/>
      <c r="I343" s="41"/>
      <c r="J343" s="40"/>
      <c r="K343" s="44"/>
      <c r="L343" s="41"/>
      <c r="M343" s="41"/>
      <c r="N343" s="37">
        <f t="shared" si="57"/>
        <v>0.5</v>
      </c>
      <c r="O343" s="40"/>
      <c r="P343" s="40"/>
      <c r="Q343" s="67">
        <v>2.0</v>
      </c>
      <c r="R343" s="42">
        <f t="shared" si="58"/>
        <v>2</v>
      </c>
      <c r="S343" s="45">
        <f t="shared" si="59"/>
        <v>301.5</v>
      </c>
      <c r="T343" s="33">
        <f t="shared" si="60"/>
        <v>4</v>
      </c>
      <c r="U343" s="65"/>
      <c r="V343" s="3"/>
      <c r="W343" s="3"/>
      <c r="X343" s="3"/>
      <c r="Y343" s="3"/>
      <c r="Z343" s="3"/>
    </row>
    <row r="344">
      <c r="A344" s="102" t="s">
        <v>250</v>
      </c>
      <c r="B344" s="24">
        <f t="shared" si="55"/>
        <v>300</v>
      </c>
      <c r="C344" s="36">
        <v>30.0</v>
      </c>
      <c r="D344" s="37">
        <f t="shared" si="56"/>
        <v>300</v>
      </c>
      <c r="E344" s="114"/>
      <c r="F344" s="115"/>
      <c r="G344" s="116"/>
      <c r="H344" s="40"/>
      <c r="I344" s="41"/>
      <c r="J344" s="40"/>
      <c r="K344" s="44"/>
      <c r="L344" s="41"/>
      <c r="M344" s="41"/>
      <c r="N344" s="37">
        <f t="shared" si="57"/>
        <v>0</v>
      </c>
      <c r="O344" s="40"/>
      <c r="P344" s="40"/>
      <c r="Q344" s="67">
        <v>1.0</v>
      </c>
      <c r="R344" s="42">
        <f t="shared" si="58"/>
        <v>1</v>
      </c>
      <c r="S344" s="45">
        <f t="shared" si="59"/>
        <v>301</v>
      </c>
      <c r="T344" s="33">
        <f t="shared" si="60"/>
        <v>5</v>
      </c>
      <c r="U344" s="3"/>
      <c r="V344" s="3"/>
      <c r="W344" s="3"/>
      <c r="X344" s="3"/>
      <c r="Y344" s="3"/>
      <c r="Z344" s="3"/>
    </row>
    <row r="345">
      <c r="A345" s="102" t="s">
        <v>251</v>
      </c>
      <c r="B345" s="24">
        <f t="shared" si="55"/>
        <v>300</v>
      </c>
      <c r="C345" s="36">
        <v>30.0</v>
      </c>
      <c r="D345" s="37">
        <f t="shared" si="56"/>
        <v>300</v>
      </c>
      <c r="E345" s="114">
        <v>1.5</v>
      </c>
      <c r="F345" s="115"/>
      <c r="G345" s="116"/>
      <c r="H345" s="40"/>
      <c r="I345" s="41"/>
      <c r="J345" s="40"/>
      <c r="K345" s="41"/>
      <c r="L345" s="41"/>
      <c r="M345" s="41"/>
      <c r="N345" s="37">
        <f t="shared" si="57"/>
        <v>1.5</v>
      </c>
      <c r="O345" s="40"/>
      <c r="P345" s="40"/>
      <c r="Q345" s="67">
        <v>1.0</v>
      </c>
      <c r="R345" s="42">
        <f t="shared" si="58"/>
        <v>1</v>
      </c>
      <c r="S345" s="47">
        <f t="shared" si="59"/>
        <v>299.5</v>
      </c>
      <c r="T345" s="33">
        <f t="shared" si="60"/>
        <v>9</v>
      </c>
      <c r="U345" s="65"/>
      <c r="V345" s="3"/>
      <c r="W345" s="3"/>
      <c r="X345" s="3"/>
      <c r="Y345" s="3"/>
      <c r="Z345" s="3"/>
    </row>
    <row r="346">
      <c r="A346" s="103" t="s">
        <v>252</v>
      </c>
      <c r="B346" s="49">
        <f t="shared" si="55"/>
        <v>300</v>
      </c>
      <c r="C346" s="50">
        <v>30.0</v>
      </c>
      <c r="D346" s="51">
        <f t="shared" si="56"/>
        <v>300</v>
      </c>
      <c r="E346" s="74">
        <v>3.0</v>
      </c>
      <c r="F346" s="118">
        <v>0.5</v>
      </c>
      <c r="G346" s="53"/>
      <c r="H346" s="53"/>
      <c r="I346" s="74"/>
      <c r="J346" s="52"/>
      <c r="K346" s="54"/>
      <c r="L346" s="74"/>
      <c r="M346" s="74"/>
      <c r="N346" s="51">
        <f t="shared" si="57"/>
        <v>3.5</v>
      </c>
      <c r="O346" s="53"/>
      <c r="P346" s="53"/>
      <c r="Q346" s="69">
        <v>1.0</v>
      </c>
      <c r="R346" s="56">
        <f t="shared" si="58"/>
        <v>1</v>
      </c>
      <c r="S346" s="57">
        <f t="shared" si="59"/>
        <v>297.5</v>
      </c>
      <c r="T346" s="33">
        <f t="shared" si="60"/>
        <v>12</v>
      </c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104"/>
      <c r="F347" s="104"/>
      <c r="G347" s="3"/>
      <c r="H347" s="3"/>
      <c r="I347" s="104"/>
      <c r="J347" s="3"/>
      <c r="K347" s="104"/>
      <c r="L347" s="104"/>
      <c r="M347" s="61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63"/>
      <c r="B348" s="63" t="s">
        <v>37</v>
      </c>
      <c r="C348" s="3"/>
      <c r="D348" s="3"/>
      <c r="E348" s="104"/>
      <c r="F348" s="108"/>
      <c r="G348" s="63"/>
      <c r="H348" s="3"/>
      <c r="I348" s="105"/>
      <c r="J348" s="62"/>
      <c r="K348" s="104"/>
      <c r="L348" s="104"/>
      <c r="M348" s="71" t="s">
        <v>400</v>
      </c>
      <c r="N348" s="85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63"/>
      <c r="B349" s="119" t="s">
        <v>239</v>
      </c>
      <c r="C349" s="120" t="s">
        <v>401</v>
      </c>
      <c r="M349" s="61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63"/>
      <c r="B350" s="119" t="s">
        <v>240</v>
      </c>
      <c r="C350" s="121" t="s">
        <v>402</v>
      </c>
      <c r="M350" s="61"/>
      <c r="N350" s="62" t="s">
        <v>160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63"/>
      <c r="B351" s="119" t="s">
        <v>241</v>
      </c>
      <c r="C351" s="121" t="s">
        <v>403</v>
      </c>
      <c r="M351" s="61"/>
      <c r="N351" s="76" t="s">
        <v>404</v>
      </c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119" t="s">
        <v>242</v>
      </c>
      <c r="C352" s="121" t="s">
        <v>405</v>
      </c>
      <c r="M352" s="61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119" t="s">
        <v>244</v>
      </c>
      <c r="C353" s="120" t="s">
        <v>406</v>
      </c>
      <c r="M353" s="71"/>
      <c r="N353" s="62" t="s">
        <v>165</v>
      </c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119" t="s">
        <v>245</v>
      </c>
      <c r="C354" s="121" t="s">
        <v>407</v>
      </c>
      <c r="M354" s="61"/>
      <c r="N354" s="76" t="s">
        <v>408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122" t="s">
        <v>246</v>
      </c>
      <c r="C355" s="120" t="s">
        <v>409</v>
      </c>
      <c r="M355" s="61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122" t="s">
        <v>249</v>
      </c>
      <c r="C356" s="120" t="s">
        <v>410</v>
      </c>
      <c r="M356" s="61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122" t="s">
        <v>250</v>
      </c>
      <c r="C357" s="120"/>
      <c r="M357" s="61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122" t="s">
        <v>251</v>
      </c>
      <c r="C358" s="120" t="s">
        <v>411</v>
      </c>
      <c r="M358" s="61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122" t="s">
        <v>252</v>
      </c>
      <c r="C359" s="120" t="s">
        <v>412</v>
      </c>
      <c r="M359" s="61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104"/>
      <c r="F360" s="104"/>
      <c r="G360" s="3"/>
      <c r="H360" s="3"/>
      <c r="I360" s="104"/>
      <c r="J360" s="3"/>
      <c r="K360" s="104"/>
      <c r="L360" s="104"/>
      <c r="M360" s="61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104"/>
      <c r="F361" s="104"/>
      <c r="G361" s="3"/>
      <c r="H361" s="3"/>
      <c r="I361" s="104"/>
      <c r="J361" s="3"/>
      <c r="K361" s="104"/>
      <c r="L361" s="104"/>
      <c r="M361" s="61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104"/>
      <c r="F362" s="104"/>
      <c r="G362" s="3"/>
      <c r="H362" s="3"/>
      <c r="I362" s="104"/>
      <c r="J362" s="3"/>
      <c r="K362" s="104"/>
      <c r="L362" s="104"/>
      <c r="M362" s="61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" t="s">
        <v>413</v>
      </c>
      <c r="U363" s="3"/>
      <c r="V363" s="3"/>
      <c r="W363" s="3"/>
      <c r="X363" s="3"/>
      <c r="Y363" s="3"/>
      <c r="Z363" s="3"/>
    </row>
    <row r="364">
      <c r="A364" s="1" t="s">
        <v>173</v>
      </c>
      <c r="U364" s="3"/>
      <c r="V364" s="3"/>
      <c r="W364" s="3"/>
      <c r="X364" s="3"/>
      <c r="Y364" s="3"/>
      <c r="Z364" s="3"/>
    </row>
    <row r="365">
      <c r="A365" s="2"/>
      <c r="B365" s="4"/>
      <c r="C365" s="2"/>
      <c r="D365" s="2"/>
      <c r="E365" s="98"/>
      <c r="F365" s="98"/>
      <c r="G365" s="2"/>
      <c r="H365" s="2"/>
      <c r="I365" s="98"/>
      <c r="J365" s="2"/>
      <c r="K365" s="98"/>
      <c r="L365" s="98"/>
      <c r="M365" s="7"/>
      <c r="N365" s="2"/>
      <c r="O365" s="2"/>
      <c r="P365" s="2"/>
      <c r="Q365" s="2"/>
      <c r="R365" s="2"/>
      <c r="S365" s="2"/>
      <c r="T365" s="2"/>
      <c r="U365" s="3"/>
      <c r="V365" s="3"/>
      <c r="W365" s="3"/>
      <c r="X365" s="3"/>
      <c r="Y365" s="3"/>
      <c r="Z365" s="3"/>
    </row>
    <row r="366">
      <c r="A366" s="8" t="s">
        <v>2</v>
      </c>
      <c r="B366" s="9" t="s">
        <v>3</v>
      </c>
      <c r="C366" s="10"/>
      <c r="D366" s="11"/>
      <c r="E366" s="99" t="s">
        <v>4</v>
      </c>
      <c r="F366" s="10"/>
      <c r="G366" s="10"/>
      <c r="H366" s="10"/>
      <c r="I366" s="10"/>
      <c r="J366" s="10"/>
      <c r="K366" s="10"/>
      <c r="L366" s="10"/>
      <c r="M366" s="10"/>
      <c r="N366" s="11"/>
      <c r="O366" s="13" t="s">
        <v>5</v>
      </c>
      <c r="P366" s="10"/>
      <c r="Q366" s="10"/>
      <c r="R366" s="11"/>
      <c r="S366" s="14" t="s">
        <v>6</v>
      </c>
      <c r="T366" s="14" t="s">
        <v>7</v>
      </c>
      <c r="U366" s="3"/>
      <c r="V366" s="3"/>
      <c r="W366" s="3"/>
      <c r="X366" s="3"/>
      <c r="Y366" s="3"/>
      <c r="Z366" s="3"/>
    </row>
    <row r="367">
      <c r="A367" s="15"/>
      <c r="B367" s="16" t="s">
        <v>8</v>
      </c>
      <c r="C367" s="17" t="s">
        <v>9</v>
      </c>
      <c r="D367" s="14" t="s">
        <v>10</v>
      </c>
      <c r="E367" s="18" t="s">
        <v>11</v>
      </c>
      <c r="F367" s="18" t="s">
        <v>12</v>
      </c>
      <c r="G367" s="17" t="s">
        <v>13</v>
      </c>
      <c r="H367" s="17" t="s">
        <v>14</v>
      </c>
      <c r="I367" s="18" t="s">
        <v>15</v>
      </c>
      <c r="J367" s="17" t="s">
        <v>16</v>
      </c>
      <c r="K367" s="18" t="s">
        <v>17</v>
      </c>
      <c r="L367" s="18" t="s">
        <v>18</v>
      </c>
      <c r="M367" s="18" t="s">
        <v>19</v>
      </c>
      <c r="N367" s="14" t="s">
        <v>20</v>
      </c>
      <c r="O367" s="17" t="s">
        <v>21</v>
      </c>
      <c r="P367" s="17" t="s">
        <v>22</v>
      </c>
      <c r="Q367" s="17" t="s">
        <v>23</v>
      </c>
      <c r="R367" s="14" t="s">
        <v>24</v>
      </c>
      <c r="S367" s="19"/>
      <c r="T367" s="19"/>
      <c r="U367" s="3"/>
      <c r="V367" s="3"/>
      <c r="W367" s="3"/>
      <c r="X367" s="3"/>
      <c r="Y367" s="3"/>
      <c r="Z367" s="3"/>
    </row>
    <row r="368">
      <c r="A368" s="20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3"/>
      <c r="V368" s="3"/>
      <c r="W368" s="3"/>
      <c r="X368" s="3"/>
      <c r="Y368" s="3"/>
      <c r="Z368" s="3"/>
    </row>
    <row r="369">
      <c r="A369" s="100">
        <v>11.0</v>
      </c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3"/>
      <c r="V369" s="3"/>
      <c r="W369" s="3"/>
      <c r="X369" s="3"/>
      <c r="Y369" s="3"/>
      <c r="Z369" s="3"/>
    </row>
    <row r="370">
      <c r="A370" s="101" t="s">
        <v>239</v>
      </c>
      <c r="B370" s="24">
        <f t="shared" ref="B370:B383" si="61">300-U370</f>
        <v>299</v>
      </c>
      <c r="C370" s="25">
        <v>30.0</v>
      </c>
      <c r="D370" s="26">
        <f t="shared" ref="D370:D383" si="62">B370</f>
        <v>299</v>
      </c>
      <c r="E370" s="30"/>
      <c r="F370" s="73"/>
      <c r="G370" s="29"/>
      <c r="H370" s="29"/>
      <c r="I370" s="73"/>
      <c r="J370" s="29"/>
      <c r="K370" s="30"/>
      <c r="L370" s="73"/>
      <c r="M370" s="73"/>
      <c r="N370" s="26">
        <f t="shared" ref="N370:N383" si="63">SUM(E370:M370)</f>
        <v>0</v>
      </c>
      <c r="O370" s="29"/>
      <c r="P370" s="29"/>
      <c r="Q370" s="83">
        <v>4.5</v>
      </c>
      <c r="R370" s="31">
        <f t="shared" ref="R370:R383" si="64">SUM(O370:Q370)</f>
        <v>4.5</v>
      </c>
      <c r="S370" s="32">
        <f t="shared" ref="S370:S383" si="65">D370-N370+R370</f>
        <v>303.5</v>
      </c>
      <c r="T370" s="33">
        <f t="shared" ref="T370:T383" si="66">RANK(S370,$S$370:$S$383,0)</f>
        <v>2</v>
      </c>
      <c r="U370" s="65">
        <v>1.0</v>
      </c>
      <c r="V370" s="3"/>
      <c r="W370" s="3"/>
      <c r="X370" s="3"/>
      <c r="Y370" s="3"/>
      <c r="Z370" s="3"/>
    </row>
    <row r="371">
      <c r="A371" s="102" t="s">
        <v>240</v>
      </c>
      <c r="B371" s="24">
        <f t="shared" si="61"/>
        <v>300</v>
      </c>
      <c r="C371" s="36">
        <v>30.0</v>
      </c>
      <c r="D371" s="37">
        <f t="shared" si="62"/>
        <v>300</v>
      </c>
      <c r="E371" s="41"/>
      <c r="F371" s="41"/>
      <c r="G371" s="40"/>
      <c r="H371" s="40"/>
      <c r="I371" s="41"/>
      <c r="J371" s="40"/>
      <c r="K371" s="44"/>
      <c r="L371" s="41"/>
      <c r="M371" s="41"/>
      <c r="N371" s="37">
        <f t="shared" si="63"/>
        <v>0</v>
      </c>
      <c r="O371" s="40"/>
      <c r="P371" s="40"/>
      <c r="Q371" s="67">
        <v>3.0</v>
      </c>
      <c r="R371" s="42">
        <f t="shared" si="64"/>
        <v>3</v>
      </c>
      <c r="S371" s="43">
        <f t="shared" si="65"/>
        <v>303</v>
      </c>
      <c r="T371" s="33">
        <f t="shared" si="66"/>
        <v>5</v>
      </c>
      <c r="U371" s="3"/>
      <c r="V371" s="3"/>
      <c r="W371" s="3"/>
      <c r="X371" s="3"/>
      <c r="Y371" s="3"/>
      <c r="Z371" s="3"/>
    </row>
    <row r="372">
      <c r="A372" s="102" t="s">
        <v>241</v>
      </c>
      <c r="B372" s="24">
        <f t="shared" si="61"/>
        <v>300</v>
      </c>
      <c r="C372" s="36">
        <v>30.0</v>
      </c>
      <c r="D372" s="37">
        <f t="shared" si="62"/>
        <v>300</v>
      </c>
      <c r="E372" s="41">
        <v>1.5</v>
      </c>
      <c r="F372" s="41">
        <v>0.5</v>
      </c>
      <c r="G372" s="40"/>
      <c r="H372" s="40"/>
      <c r="I372" s="41"/>
      <c r="J372" s="40"/>
      <c r="K372" s="41"/>
      <c r="L372" s="41"/>
      <c r="M372" s="41"/>
      <c r="N372" s="37">
        <f t="shared" si="63"/>
        <v>2</v>
      </c>
      <c r="O372" s="40"/>
      <c r="P372" s="40"/>
      <c r="Q372" s="67">
        <v>2.5</v>
      </c>
      <c r="R372" s="42">
        <f t="shared" si="64"/>
        <v>2.5</v>
      </c>
      <c r="S372" s="45">
        <f t="shared" si="65"/>
        <v>300.5</v>
      </c>
      <c r="T372" s="33">
        <f t="shared" si="66"/>
        <v>10</v>
      </c>
      <c r="U372" s="65"/>
      <c r="V372" s="3"/>
      <c r="W372" s="3"/>
      <c r="X372" s="3"/>
      <c r="Y372" s="3"/>
      <c r="Z372" s="3"/>
    </row>
    <row r="373">
      <c r="A373" s="102" t="s">
        <v>242</v>
      </c>
      <c r="B373" s="24">
        <f t="shared" si="61"/>
        <v>300</v>
      </c>
      <c r="C373" s="36">
        <v>30.0</v>
      </c>
      <c r="D373" s="37">
        <f t="shared" si="62"/>
        <v>300</v>
      </c>
      <c r="E373" s="41"/>
      <c r="F373" s="41"/>
      <c r="G373" s="40"/>
      <c r="H373" s="40"/>
      <c r="I373" s="41"/>
      <c r="J373" s="40"/>
      <c r="K373" s="44"/>
      <c r="L373" s="41"/>
      <c r="M373" s="41"/>
      <c r="N373" s="37">
        <f t="shared" si="63"/>
        <v>0</v>
      </c>
      <c r="O373" s="40"/>
      <c r="P373" s="40"/>
      <c r="Q373" s="67">
        <v>2.5</v>
      </c>
      <c r="R373" s="42">
        <f t="shared" si="64"/>
        <v>2.5</v>
      </c>
      <c r="S373" s="45">
        <f t="shared" si="65"/>
        <v>302.5</v>
      </c>
      <c r="T373" s="33">
        <f t="shared" si="66"/>
        <v>7</v>
      </c>
      <c r="U373" s="3"/>
      <c r="V373" s="3"/>
      <c r="W373" s="3"/>
      <c r="X373" s="3"/>
      <c r="Y373" s="3"/>
      <c r="Z373" s="3"/>
    </row>
    <row r="374">
      <c r="A374" s="102" t="s">
        <v>243</v>
      </c>
      <c r="B374" s="24">
        <f t="shared" si="61"/>
        <v>300</v>
      </c>
      <c r="C374" s="36">
        <v>30.0</v>
      </c>
      <c r="D374" s="37">
        <f t="shared" si="62"/>
        <v>300</v>
      </c>
      <c r="E374" s="41"/>
      <c r="F374" s="41"/>
      <c r="G374" s="40"/>
      <c r="H374" s="40"/>
      <c r="I374" s="41"/>
      <c r="J374" s="40"/>
      <c r="K374" s="44"/>
      <c r="L374" s="41"/>
      <c r="M374" s="41"/>
      <c r="N374" s="37">
        <f t="shared" si="63"/>
        <v>0</v>
      </c>
      <c r="O374" s="40"/>
      <c r="P374" s="40"/>
      <c r="Q374" s="67">
        <v>3.5</v>
      </c>
      <c r="R374" s="42">
        <f t="shared" si="64"/>
        <v>3.5</v>
      </c>
      <c r="S374" s="45">
        <f t="shared" si="65"/>
        <v>303.5</v>
      </c>
      <c r="T374" s="33">
        <f t="shared" si="66"/>
        <v>2</v>
      </c>
      <c r="U374" s="65"/>
      <c r="V374" s="3"/>
      <c r="W374" s="3"/>
      <c r="X374" s="3"/>
      <c r="Y374" s="3"/>
      <c r="Z374" s="3"/>
    </row>
    <row r="375">
      <c r="A375" s="102" t="s">
        <v>244</v>
      </c>
      <c r="B375" s="24">
        <f t="shared" si="61"/>
        <v>299</v>
      </c>
      <c r="C375" s="36">
        <v>30.0</v>
      </c>
      <c r="D375" s="37">
        <f t="shared" si="62"/>
        <v>299</v>
      </c>
      <c r="E375" s="41">
        <f>1.5*7</f>
        <v>10.5</v>
      </c>
      <c r="F375" s="41">
        <v>2.5</v>
      </c>
      <c r="G375" s="40"/>
      <c r="H375" s="40"/>
      <c r="I375" s="41"/>
      <c r="J375" s="40"/>
      <c r="K375" s="41"/>
      <c r="L375" s="41"/>
      <c r="M375" s="41"/>
      <c r="N375" s="37">
        <f t="shared" si="63"/>
        <v>13</v>
      </c>
      <c r="O375" s="40"/>
      <c r="P375" s="40"/>
      <c r="Q375" s="67">
        <v>4.0</v>
      </c>
      <c r="R375" s="42">
        <f t="shared" si="64"/>
        <v>4</v>
      </c>
      <c r="S375" s="45">
        <f t="shared" si="65"/>
        <v>290</v>
      </c>
      <c r="T375" s="33">
        <f t="shared" si="66"/>
        <v>14</v>
      </c>
      <c r="U375" s="65">
        <v>1.0</v>
      </c>
      <c r="V375" s="3"/>
      <c r="W375" s="3"/>
      <c r="X375" s="3"/>
      <c r="Y375" s="3"/>
      <c r="Z375" s="3"/>
    </row>
    <row r="376">
      <c r="A376" s="102" t="s">
        <v>245</v>
      </c>
      <c r="B376" s="24">
        <f t="shared" si="61"/>
        <v>300</v>
      </c>
      <c r="C376" s="36">
        <v>30.0</v>
      </c>
      <c r="D376" s="37">
        <f t="shared" si="62"/>
        <v>300</v>
      </c>
      <c r="E376" s="41">
        <v>1.5</v>
      </c>
      <c r="F376" s="41">
        <v>0.5</v>
      </c>
      <c r="G376" s="40"/>
      <c r="H376" s="40"/>
      <c r="I376" s="41"/>
      <c r="J376" s="38"/>
      <c r="K376" s="41"/>
      <c r="L376" s="41"/>
      <c r="M376" s="41">
        <v>0.5</v>
      </c>
      <c r="N376" s="37">
        <f t="shared" si="63"/>
        <v>2.5</v>
      </c>
      <c r="O376" s="40"/>
      <c r="P376" s="40"/>
      <c r="Q376" s="67">
        <v>3.0</v>
      </c>
      <c r="R376" s="42">
        <f t="shared" si="64"/>
        <v>3</v>
      </c>
      <c r="S376" s="45">
        <f t="shared" si="65"/>
        <v>300.5</v>
      </c>
      <c r="T376" s="33">
        <f t="shared" si="66"/>
        <v>10</v>
      </c>
      <c r="U376" s="3"/>
      <c r="V376" s="3"/>
      <c r="W376" s="3"/>
      <c r="X376" s="3"/>
      <c r="Y376" s="3"/>
      <c r="Z376" s="3"/>
    </row>
    <row r="377">
      <c r="A377" s="102" t="s">
        <v>246</v>
      </c>
      <c r="B377" s="24">
        <f t="shared" si="61"/>
        <v>300</v>
      </c>
      <c r="C377" s="36">
        <v>30.0</v>
      </c>
      <c r="D377" s="37">
        <f t="shared" si="62"/>
        <v>300</v>
      </c>
      <c r="E377" s="41">
        <v>3.0</v>
      </c>
      <c r="F377" s="41"/>
      <c r="G377" s="40"/>
      <c r="H377" s="40"/>
      <c r="I377" s="41"/>
      <c r="J377" s="40"/>
      <c r="K377" s="41"/>
      <c r="L377" s="41"/>
      <c r="M377" s="61"/>
      <c r="N377" s="37">
        <f t="shared" si="63"/>
        <v>3</v>
      </c>
      <c r="O377" s="40"/>
      <c r="P377" s="40"/>
      <c r="Q377" s="67">
        <v>3.0</v>
      </c>
      <c r="R377" s="42">
        <f t="shared" si="64"/>
        <v>3</v>
      </c>
      <c r="S377" s="47">
        <f t="shared" si="65"/>
        <v>300</v>
      </c>
      <c r="T377" s="33">
        <f t="shared" si="66"/>
        <v>13</v>
      </c>
      <c r="U377" s="65"/>
      <c r="V377" s="3"/>
      <c r="W377" s="3"/>
      <c r="X377" s="3"/>
      <c r="Y377" s="3"/>
      <c r="Z377" s="3"/>
    </row>
    <row r="378">
      <c r="A378" s="102" t="s">
        <v>247</v>
      </c>
      <c r="B378" s="24">
        <f t="shared" si="61"/>
        <v>297</v>
      </c>
      <c r="C378" s="36">
        <v>30.0</v>
      </c>
      <c r="D378" s="37">
        <f t="shared" si="62"/>
        <v>297</v>
      </c>
      <c r="E378" s="41"/>
      <c r="F378" s="41">
        <v>0.5</v>
      </c>
      <c r="G378" s="40"/>
      <c r="H378" s="40"/>
      <c r="I378" s="41"/>
      <c r="J378" s="38"/>
      <c r="K378" s="41"/>
      <c r="L378" s="41"/>
      <c r="M378" s="41"/>
      <c r="N378" s="37">
        <f t="shared" si="63"/>
        <v>0.5</v>
      </c>
      <c r="O378" s="40"/>
      <c r="P378" s="40"/>
      <c r="Q378" s="67">
        <v>4.0</v>
      </c>
      <c r="R378" s="42">
        <f t="shared" si="64"/>
        <v>4</v>
      </c>
      <c r="S378" s="47">
        <f t="shared" si="65"/>
        <v>300.5</v>
      </c>
      <c r="T378" s="33">
        <f t="shared" si="66"/>
        <v>10</v>
      </c>
      <c r="U378" s="65">
        <v>3.0</v>
      </c>
      <c r="V378" s="3"/>
      <c r="W378" s="3"/>
      <c r="X378" s="3"/>
      <c r="Y378" s="3"/>
      <c r="Z378" s="3"/>
    </row>
    <row r="379">
      <c r="A379" s="102" t="s">
        <v>248</v>
      </c>
      <c r="B379" s="24">
        <f t="shared" si="61"/>
        <v>300</v>
      </c>
      <c r="C379" s="36">
        <v>30.0</v>
      </c>
      <c r="D379" s="37">
        <f t="shared" si="62"/>
        <v>300</v>
      </c>
      <c r="E379" s="44"/>
      <c r="F379" s="41"/>
      <c r="G379" s="40"/>
      <c r="H379" s="40"/>
      <c r="I379" s="41"/>
      <c r="J379" s="40"/>
      <c r="K379" s="41"/>
      <c r="L379" s="44"/>
      <c r="M379" s="41"/>
      <c r="N379" s="37">
        <f t="shared" si="63"/>
        <v>0</v>
      </c>
      <c r="O379" s="40"/>
      <c r="P379" s="40"/>
      <c r="Q379" s="67">
        <v>4.0</v>
      </c>
      <c r="R379" s="42">
        <f t="shared" si="64"/>
        <v>4</v>
      </c>
      <c r="S379" s="43">
        <f t="shared" si="65"/>
        <v>304</v>
      </c>
      <c r="T379" s="33">
        <f t="shared" si="66"/>
        <v>1</v>
      </c>
      <c r="U379" s="3"/>
      <c r="V379" s="3"/>
      <c r="W379" s="3"/>
      <c r="X379" s="3"/>
      <c r="Y379" s="3"/>
      <c r="Z379" s="3"/>
    </row>
    <row r="380">
      <c r="A380" s="102" t="s">
        <v>249</v>
      </c>
      <c r="B380" s="24">
        <f t="shared" si="61"/>
        <v>300</v>
      </c>
      <c r="C380" s="36">
        <v>30.0</v>
      </c>
      <c r="D380" s="37">
        <f t="shared" si="62"/>
        <v>300</v>
      </c>
      <c r="E380" s="41"/>
      <c r="F380" s="41"/>
      <c r="G380" s="40"/>
      <c r="H380" s="40"/>
      <c r="I380" s="41"/>
      <c r="J380" s="40"/>
      <c r="K380" s="44"/>
      <c r="L380" s="41"/>
      <c r="M380" s="41"/>
      <c r="N380" s="37">
        <f t="shared" si="63"/>
        <v>0</v>
      </c>
      <c r="O380" s="40"/>
      <c r="P380" s="40"/>
      <c r="Q380" s="67">
        <v>2.0</v>
      </c>
      <c r="R380" s="42">
        <f t="shared" si="64"/>
        <v>2</v>
      </c>
      <c r="S380" s="45">
        <f t="shared" si="65"/>
        <v>302</v>
      </c>
      <c r="T380" s="33">
        <f t="shared" si="66"/>
        <v>8</v>
      </c>
      <c r="U380" s="65"/>
      <c r="V380" s="3"/>
      <c r="W380" s="3"/>
      <c r="X380" s="3"/>
      <c r="Y380" s="3"/>
      <c r="Z380" s="3"/>
    </row>
    <row r="381">
      <c r="A381" s="102" t="s">
        <v>250</v>
      </c>
      <c r="B381" s="24">
        <f t="shared" si="61"/>
        <v>299</v>
      </c>
      <c r="C381" s="36">
        <v>30.0</v>
      </c>
      <c r="D381" s="37">
        <f t="shared" si="62"/>
        <v>299</v>
      </c>
      <c r="E381" s="114"/>
      <c r="F381" s="41"/>
      <c r="G381" s="116"/>
      <c r="H381" s="40"/>
      <c r="I381" s="41"/>
      <c r="J381" s="40"/>
      <c r="K381" s="44"/>
      <c r="L381" s="41"/>
      <c r="M381" s="41"/>
      <c r="N381" s="37">
        <f t="shared" si="63"/>
        <v>0</v>
      </c>
      <c r="O381" s="40"/>
      <c r="P381" s="40"/>
      <c r="Q381" s="67">
        <v>4.0</v>
      </c>
      <c r="R381" s="42">
        <f t="shared" si="64"/>
        <v>4</v>
      </c>
      <c r="S381" s="45">
        <f t="shared" si="65"/>
        <v>303</v>
      </c>
      <c r="T381" s="33">
        <f t="shared" si="66"/>
        <v>5</v>
      </c>
      <c r="U381" s="65">
        <v>1.0</v>
      </c>
      <c r="V381" s="3"/>
      <c r="W381" s="3"/>
      <c r="X381" s="3"/>
      <c r="Y381" s="3"/>
      <c r="Z381" s="3"/>
    </row>
    <row r="382">
      <c r="A382" s="102" t="s">
        <v>251</v>
      </c>
      <c r="B382" s="24">
        <f t="shared" si="61"/>
        <v>300</v>
      </c>
      <c r="C382" s="36">
        <v>30.0</v>
      </c>
      <c r="D382" s="37">
        <f t="shared" si="62"/>
        <v>300</v>
      </c>
      <c r="E382" s="117"/>
      <c r="F382" s="41"/>
      <c r="G382" s="116"/>
      <c r="H382" s="40"/>
      <c r="I382" s="41"/>
      <c r="J382" s="40"/>
      <c r="K382" s="41"/>
      <c r="L382" s="41"/>
      <c r="M382" s="41"/>
      <c r="N382" s="37">
        <f t="shared" si="63"/>
        <v>0</v>
      </c>
      <c r="O382" s="40"/>
      <c r="P382" s="40"/>
      <c r="Q382" s="67">
        <v>3.5</v>
      </c>
      <c r="R382" s="42">
        <f t="shared" si="64"/>
        <v>3.5</v>
      </c>
      <c r="S382" s="47">
        <f t="shared" si="65"/>
        <v>303.5</v>
      </c>
      <c r="T382" s="33">
        <f t="shared" si="66"/>
        <v>2</v>
      </c>
      <c r="U382" s="65"/>
      <c r="V382" s="3"/>
      <c r="W382" s="3"/>
      <c r="X382" s="3"/>
      <c r="Y382" s="3"/>
      <c r="Z382" s="3"/>
    </row>
    <row r="383">
      <c r="A383" s="103" t="s">
        <v>252</v>
      </c>
      <c r="B383" s="49">
        <f t="shared" si="61"/>
        <v>299</v>
      </c>
      <c r="C383" s="50">
        <v>30.0</v>
      </c>
      <c r="D383" s="51">
        <f t="shared" si="62"/>
        <v>299</v>
      </c>
      <c r="E383" s="74">
        <v>1.5</v>
      </c>
      <c r="F383" s="74"/>
      <c r="G383" s="53"/>
      <c r="H383" s="53"/>
      <c r="I383" s="74"/>
      <c r="J383" s="52"/>
      <c r="K383" s="54"/>
      <c r="L383" s="74"/>
      <c r="M383" s="74"/>
      <c r="N383" s="51">
        <f t="shared" si="63"/>
        <v>1.5</v>
      </c>
      <c r="O383" s="53"/>
      <c r="P383" s="53"/>
      <c r="Q383" s="69">
        <v>3.5</v>
      </c>
      <c r="R383" s="56">
        <f t="shared" si="64"/>
        <v>3.5</v>
      </c>
      <c r="S383" s="57">
        <f t="shared" si="65"/>
        <v>301</v>
      </c>
      <c r="T383" s="33">
        <f t="shared" si="66"/>
        <v>9</v>
      </c>
      <c r="U383" s="65">
        <v>1.0</v>
      </c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104"/>
      <c r="F384" s="104"/>
      <c r="G384" s="3"/>
      <c r="H384" s="3"/>
      <c r="I384" s="104"/>
      <c r="J384" s="3"/>
      <c r="K384" s="104"/>
      <c r="L384" s="104"/>
      <c r="M384" s="61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63"/>
      <c r="B385" s="63" t="s">
        <v>37</v>
      </c>
      <c r="C385" s="3"/>
      <c r="D385" s="3"/>
      <c r="E385" s="104"/>
      <c r="F385" s="108"/>
      <c r="G385" s="63"/>
      <c r="H385" s="3"/>
      <c r="I385" s="105"/>
      <c r="J385" s="62"/>
      <c r="K385" s="105" t="s">
        <v>342</v>
      </c>
      <c r="L385" s="104"/>
      <c r="M385" s="61"/>
      <c r="N385" s="85"/>
      <c r="O385" s="62" t="s">
        <v>414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63"/>
      <c r="B386" s="65" t="s">
        <v>415</v>
      </c>
      <c r="C386" s="3"/>
      <c r="D386" s="3"/>
      <c r="E386" s="104"/>
      <c r="F386" s="108"/>
      <c r="G386" s="63"/>
      <c r="H386" s="3"/>
      <c r="I386" s="105"/>
      <c r="J386" s="62"/>
      <c r="K386" s="104"/>
      <c r="L386" s="104"/>
      <c r="M386" s="71"/>
      <c r="N386" s="85"/>
      <c r="O386" s="76" t="s">
        <v>416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63"/>
      <c r="B387" s="65" t="s">
        <v>417</v>
      </c>
      <c r="C387" s="3"/>
      <c r="D387" s="3"/>
      <c r="E387" s="104"/>
      <c r="F387" s="108"/>
      <c r="G387" s="63"/>
      <c r="H387" s="3"/>
      <c r="I387" s="105"/>
      <c r="J387" s="62"/>
      <c r="K387" s="104"/>
      <c r="L387" s="104"/>
      <c r="M387" s="71"/>
      <c r="N387" s="85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63"/>
      <c r="B388" s="65"/>
      <c r="C388" s="3"/>
      <c r="D388" s="3"/>
      <c r="E388" s="104"/>
      <c r="F388" s="104"/>
      <c r="G388" s="63"/>
      <c r="H388" s="3"/>
      <c r="I388" s="105"/>
      <c r="J388" s="62"/>
      <c r="K388" s="104"/>
      <c r="L388" s="104"/>
      <c r="M388" s="71"/>
      <c r="N388" s="79"/>
      <c r="O388" s="70" t="s">
        <v>175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65" t="s">
        <v>418</v>
      </c>
      <c r="C389" s="3"/>
      <c r="D389" s="3"/>
      <c r="E389" s="104"/>
      <c r="F389" s="104"/>
      <c r="G389" s="63"/>
      <c r="H389" s="3"/>
      <c r="I389" s="104"/>
      <c r="J389" s="3"/>
      <c r="K389" s="104"/>
      <c r="L389" s="104"/>
      <c r="M389" s="72"/>
      <c r="N389" s="82"/>
      <c r="O389" s="79" t="s">
        <v>419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65" t="s">
        <v>420</v>
      </c>
      <c r="C390" s="3"/>
      <c r="D390" s="3"/>
      <c r="E390" s="104"/>
      <c r="F390" s="104"/>
      <c r="G390" s="63"/>
      <c r="H390" s="3"/>
      <c r="I390" s="104"/>
      <c r="J390" s="3"/>
      <c r="K390" s="104"/>
      <c r="L390" s="104"/>
      <c r="M390" s="72"/>
      <c r="N390" s="82"/>
      <c r="O390" s="79" t="s">
        <v>421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76" t="s">
        <v>422</v>
      </c>
      <c r="C391" s="3"/>
      <c r="D391" s="3"/>
      <c r="E391" s="104"/>
      <c r="F391" s="104"/>
      <c r="G391" s="63"/>
      <c r="H391" s="3"/>
      <c r="I391" s="104"/>
      <c r="J391" s="3"/>
      <c r="K391" s="104"/>
      <c r="L391" s="104"/>
      <c r="M391" s="72"/>
      <c r="N391" s="82"/>
      <c r="O391" s="79" t="s">
        <v>423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65" t="s">
        <v>424</v>
      </c>
      <c r="C392" s="3"/>
      <c r="D392" s="3"/>
      <c r="E392" s="104"/>
      <c r="F392" s="104"/>
      <c r="G392" s="63"/>
      <c r="H392" s="3"/>
      <c r="I392" s="104"/>
      <c r="J392" s="3"/>
      <c r="K392" s="104"/>
      <c r="L392" s="104"/>
      <c r="M392" s="72"/>
      <c r="N392" s="82"/>
      <c r="O392" s="94" t="s">
        <v>425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65" t="s">
        <v>415</v>
      </c>
      <c r="C393" s="3"/>
      <c r="D393" s="3"/>
      <c r="E393" s="104"/>
      <c r="F393" s="104"/>
      <c r="G393" s="63"/>
      <c r="H393" s="3"/>
      <c r="I393" s="104"/>
      <c r="J393" s="3"/>
      <c r="K393" s="104"/>
      <c r="L393" s="104"/>
      <c r="M393" s="72"/>
      <c r="N393" s="82"/>
      <c r="O393" s="79" t="s">
        <v>426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65" t="s">
        <v>427</v>
      </c>
      <c r="C394" s="3"/>
      <c r="D394" s="3"/>
      <c r="E394" s="104"/>
      <c r="F394" s="104"/>
      <c r="G394" s="3"/>
      <c r="H394" s="3"/>
      <c r="I394" s="104"/>
      <c r="J394" s="3"/>
      <c r="K394" s="104"/>
      <c r="L394" s="104"/>
      <c r="M394" s="61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104"/>
      <c r="F395" s="104"/>
      <c r="G395" s="3"/>
      <c r="H395" s="3"/>
      <c r="I395" s="104"/>
      <c r="J395" s="3"/>
      <c r="K395" s="104"/>
      <c r="L395" s="104"/>
      <c r="M395" s="61"/>
      <c r="N395" s="3"/>
      <c r="O395" s="70" t="s">
        <v>428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104"/>
      <c r="F396" s="104"/>
      <c r="G396" s="3"/>
      <c r="H396" s="3"/>
      <c r="I396" s="104"/>
      <c r="J396" s="3"/>
      <c r="K396" s="104"/>
      <c r="L396" s="104"/>
      <c r="M396" s="61"/>
      <c r="N396" s="3"/>
      <c r="O396" s="79" t="s">
        <v>429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104"/>
      <c r="F397" s="104"/>
      <c r="G397" s="3"/>
      <c r="H397" s="3"/>
      <c r="I397" s="104"/>
      <c r="J397" s="3"/>
      <c r="K397" s="104"/>
      <c r="L397" s="104"/>
      <c r="M397" s="61"/>
      <c r="N397" s="3"/>
      <c r="O397" s="79" t="s">
        <v>430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104"/>
      <c r="F398" s="104"/>
      <c r="G398" s="3"/>
      <c r="H398" s="3"/>
      <c r="I398" s="104"/>
      <c r="J398" s="3"/>
      <c r="K398" s="104"/>
      <c r="L398" s="104"/>
      <c r="M398" s="61"/>
      <c r="N398" s="3"/>
      <c r="O398" s="79" t="s">
        <v>431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104"/>
      <c r="F399" s="104"/>
      <c r="G399" s="3"/>
      <c r="H399" s="3"/>
      <c r="I399" s="104"/>
      <c r="J399" s="3"/>
      <c r="K399" s="104"/>
      <c r="L399" s="104"/>
      <c r="M399" s="61"/>
      <c r="N399" s="3"/>
      <c r="O399" s="94" t="s">
        <v>432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104"/>
      <c r="F400" s="104"/>
      <c r="G400" s="3"/>
      <c r="H400" s="3"/>
      <c r="I400" s="104"/>
      <c r="J400" s="3"/>
      <c r="K400" s="104"/>
      <c r="L400" s="104"/>
      <c r="M400" s="61"/>
      <c r="N400" s="3"/>
      <c r="O400" s="79" t="s">
        <v>433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104"/>
      <c r="F401" s="104"/>
      <c r="G401" s="3"/>
      <c r="H401" s="3"/>
      <c r="I401" s="104"/>
      <c r="J401" s="3"/>
      <c r="K401" s="104"/>
      <c r="L401" s="104"/>
      <c r="M401" s="61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104"/>
      <c r="F402" s="104"/>
      <c r="G402" s="3"/>
      <c r="H402" s="3"/>
      <c r="I402" s="104"/>
      <c r="J402" s="3"/>
      <c r="K402" s="104"/>
      <c r="L402" s="104"/>
      <c r="M402" s="61"/>
      <c r="N402" s="3"/>
      <c r="O402" s="62" t="s">
        <v>189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104"/>
      <c r="F403" s="104"/>
      <c r="G403" s="3"/>
      <c r="H403" s="3"/>
      <c r="I403" s="104"/>
      <c r="J403" s="3"/>
      <c r="K403" s="104"/>
      <c r="L403" s="104"/>
      <c r="M403" s="61"/>
      <c r="N403" s="3"/>
      <c r="O403" s="76" t="s">
        <v>434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104"/>
      <c r="F404" s="104"/>
      <c r="G404" s="3"/>
      <c r="H404" s="3"/>
      <c r="I404" s="104"/>
      <c r="J404" s="3"/>
      <c r="K404" s="104"/>
      <c r="L404" s="104"/>
      <c r="M404" s="61"/>
      <c r="N404" s="3"/>
      <c r="O404" s="76" t="s">
        <v>435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104"/>
      <c r="F405" s="104"/>
      <c r="G405" s="3"/>
      <c r="H405" s="3"/>
      <c r="I405" s="104"/>
      <c r="J405" s="3"/>
      <c r="K405" s="104"/>
      <c r="L405" s="104"/>
      <c r="M405" s="61"/>
      <c r="N405" s="3"/>
      <c r="O405" s="76" t="s">
        <v>436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104"/>
      <c r="F406" s="104"/>
      <c r="G406" s="3"/>
      <c r="H406" s="3"/>
      <c r="I406" s="104"/>
      <c r="J406" s="3"/>
      <c r="K406" s="104"/>
      <c r="L406" s="104"/>
      <c r="M406" s="61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104"/>
      <c r="F407" s="104"/>
      <c r="G407" s="3"/>
      <c r="H407" s="3"/>
      <c r="I407" s="104"/>
      <c r="J407" s="3"/>
      <c r="K407" s="104"/>
      <c r="L407" s="104"/>
      <c r="M407" s="61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104"/>
      <c r="F408" s="104"/>
      <c r="G408" s="3"/>
      <c r="H408" s="3"/>
      <c r="I408" s="104"/>
      <c r="J408" s="3"/>
      <c r="K408" s="104"/>
      <c r="L408" s="104"/>
      <c r="M408" s="61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" t="s">
        <v>437</v>
      </c>
      <c r="U409" s="3"/>
      <c r="V409" s="3"/>
      <c r="W409" s="3"/>
      <c r="X409" s="3"/>
      <c r="Y409" s="3"/>
      <c r="Z409" s="3"/>
    </row>
    <row r="410">
      <c r="A410" s="1" t="s">
        <v>193</v>
      </c>
      <c r="U410" s="3"/>
      <c r="V410" s="3"/>
      <c r="W410" s="3"/>
      <c r="X410" s="3"/>
      <c r="Y410" s="3"/>
      <c r="Z410" s="3"/>
    </row>
    <row r="411">
      <c r="A411" s="2"/>
      <c r="B411" s="4"/>
      <c r="C411" s="2"/>
      <c r="D411" s="2"/>
      <c r="E411" s="98"/>
      <c r="F411" s="98"/>
      <c r="G411" s="2"/>
      <c r="H411" s="2"/>
      <c r="I411" s="98"/>
      <c r="J411" s="2"/>
      <c r="K411" s="98"/>
      <c r="L411" s="98"/>
      <c r="M411" s="7"/>
      <c r="N411" s="2"/>
      <c r="O411" s="2"/>
      <c r="P411" s="2"/>
      <c r="Q411" s="2"/>
      <c r="R411" s="2"/>
      <c r="S411" s="2"/>
      <c r="T411" s="2"/>
      <c r="U411" s="3"/>
      <c r="V411" s="3"/>
      <c r="W411" s="3"/>
      <c r="X411" s="3"/>
      <c r="Y411" s="3"/>
      <c r="Z411" s="3"/>
    </row>
    <row r="412">
      <c r="A412" s="8" t="s">
        <v>2</v>
      </c>
      <c r="B412" s="9" t="s">
        <v>3</v>
      </c>
      <c r="C412" s="10"/>
      <c r="D412" s="11"/>
      <c r="E412" s="99" t="s">
        <v>4</v>
      </c>
      <c r="F412" s="10"/>
      <c r="G412" s="10"/>
      <c r="H412" s="10"/>
      <c r="I412" s="10"/>
      <c r="J412" s="10"/>
      <c r="K412" s="10"/>
      <c r="L412" s="10"/>
      <c r="M412" s="10"/>
      <c r="N412" s="11"/>
      <c r="O412" s="13" t="s">
        <v>5</v>
      </c>
      <c r="P412" s="10"/>
      <c r="Q412" s="10"/>
      <c r="R412" s="11"/>
      <c r="S412" s="14" t="s">
        <v>6</v>
      </c>
      <c r="T412" s="14" t="s">
        <v>7</v>
      </c>
      <c r="U412" s="3"/>
      <c r="V412" s="3"/>
      <c r="W412" s="3"/>
      <c r="X412" s="3"/>
      <c r="Y412" s="3"/>
      <c r="Z412" s="3"/>
    </row>
    <row r="413">
      <c r="A413" s="15"/>
      <c r="B413" s="16" t="s">
        <v>8</v>
      </c>
      <c r="C413" s="17" t="s">
        <v>9</v>
      </c>
      <c r="D413" s="14" t="s">
        <v>10</v>
      </c>
      <c r="E413" s="18" t="s">
        <v>11</v>
      </c>
      <c r="F413" s="18" t="s">
        <v>12</v>
      </c>
      <c r="G413" s="17" t="s">
        <v>13</v>
      </c>
      <c r="H413" s="17" t="s">
        <v>14</v>
      </c>
      <c r="I413" s="18" t="s">
        <v>15</v>
      </c>
      <c r="J413" s="17" t="s">
        <v>16</v>
      </c>
      <c r="K413" s="18" t="s">
        <v>17</v>
      </c>
      <c r="L413" s="18" t="s">
        <v>18</v>
      </c>
      <c r="M413" s="18" t="s">
        <v>19</v>
      </c>
      <c r="N413" s="14" t="s">
        <v>20</v>
      </c>
      <c r="O413" s="17" t="s">
        <v>21</v>
      </c>
      <c r="P413" s="17" t="s">
        <v>22</v>
      </c>
      <c r="Q413" s="17" t="s">
        <v>23</v>
      </c>
      <c r="R413" s="14" t="s">
        <v>24</v>
      </c>
      <c r="S413" s="19"/>
      <c r="T413" s="19"/>
      <c r="U413" s="3"/>
      <c r="V413" s="3"/>
      <c r="W413" s="3"/>
      <c r="X413" s="3"/>
      <c r="Y413" s="3"/>
      <c r="Z413" s="3"/>
    </row>
    <row r="414">
      <c r="A414" s="20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3"/>
      <c r="V414" s="3"/>
      <c r="W414" s="3"/>
      <c r="X414" s="3"/>
      <c r="Y414" s="3"/>
      <c r="Z414" s="3"/>
    </row>
    <row r="415">
      <c r="A415" s="100">
        <v>11.0</v>
      </c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3"/>
      <c r="V415" s="3"/>
      <c r="W415" s="3"/>
      <c r="X415" s="3"/>
      <c r="Y415" s="3"/>
      <c r="Z415" s="3"/>
    </row>
    <row r="416">
      <c r="A416" s="101" t="s">
        <v>239</v>
      </c>
      <c r="B416" s="24">
        <f t="shared" ref="B416:B429" si="67">300-U416</f>
        <v>300</v>
      </c>
      <c r="C416" s="25">
        <v>30.0</v>
      </c>
      <c r="D416" s="26">
        <f t="shared" ref="D416:D429" si="68">B416</f>
        <v>300</v>
      </c>
      <c r="E416" s="30"/>
      <c r="F416" s="73"/>
      <c r="G416" s="29"/>
      <c r="H416" s="29"/>
      <c r="I416" s="73"/>
      <c r="J416" s="29"/>
      <c r="K416" s="30"/>
      <c r="L416" s="73"/>
      <c r="M416" s="73"/>
      <c r="N416" s="26">
        <f t="shared" ref="N416:N429" si="69">SUM(E416:M416)</f>
        <v>0</v>
      </c>
      <c r="O416" s="29"/>
      <c r="P416" s="29"/>
      <c r="Q416" s="83">
        <v>1.0</v>
      </c>
      <c r="R416" s="31">
        <f t="shared" ref="R416:R429" si="70">SUM(O416:Q416)</f>
        <v>1</v>
      </c>
      <c r="S416" s="32">
        <f t="shared" ref="S416:S429" si="71">D416-N416+R416</f>
        <v>301</v>
      </c>
      <c r="T416" s="33">
        <f t="shared" ref="T416:T429" si="72">RANK(S416,$S$416:$S$429,0)</f>
        <v>1</v>
      </c>
      <c r="U416" s="65"/>
      <c r="V416" s="3"/>
      <c r="W416" s="3"/>
      <c r="X416" s="3"/>
      <c r="Y416" s="3"/>
      <c r="Z416" s="3"/>
    </row>
    <row r="417">
      <c r="A417" s="102" t="s">
        <v>240</v>
      </c>
      <c r="B417" s="24">
        <f t="shared" si="67"/>
        <v>300</v>
      </c>
      <c r="C417" s="36">
        <v>30.0</v>
      </c>
      <c r="D417" s="37">
        <f t="shared" si="68"/>
        <v>300</v>
      </c>
      <c r="E417" s="41">
        <v>1.5</v>
      </c>
      <c r="F417" s="41">
        <v>1.5</v>
      </c>
      <c r="G417" s="40"/>
      <c r="H417" s="40"/>
      <c r="I417" s="41"/>
      <c r="J417" s="40"/>
      <c r="K417" s="44"/>
      <c r="L417" s="41"/>
      <c r="M417" s="41"/>
      <c r="N417" s="37">
        <f t="shared" si="69"/>
        <v>3</v>
      </c>
      <c r="O417" s="40"/>
      <c r="P417" s="40"/>
      <c r="Q417" s="67">
        <v>1.0</v>
      </c>
      <c r="R417" s="42">
        <f t="shared" si="70"/>
        <v>1</v>
      </c>
      <c r="S417" s="43">
        <f t="shared" si="71"/>
        <v>298</v>
      </c>
      <c r="T417" s="33">
        <f t="shared" si="72"/>
        <v>10</v>
      </c>
      <c r="U417" s="3"/>
      <c r="V417" s="3"/>
      <c r="W417" s="3"/>
      <c r="X417" s="3"/>
      <c r="Y417" s="3"/>
      <c r="Z417" s="3"/>
    </row>
    <row r="418">
      <c r="A418" s="102" t="s">
        <v>241</v>
      </c>
      <c r="B418" s="24">
        <f t="shared" si="67"/>
        <v>300</v>
      </c>
      <c r="C418" s="36">
        <v>30.0</v>
      </c>
      <c r="D418" s="37">
        <f t="shared" si="68"/>
        <v>300</v>
      </c>
      <c r="E418" s="41"/>
      <c r="F418" s="41"/>
      <c r="G418" s="40"/>
      <c r="H418" s="40"/>
      <c r="I418" s="41"/>
      <c r="J418" s="40"/>
      <c r="K418" s="41"/>
      <c r="L418" s="41"/>
      <c r="M418" s="41">
        <v>0.5</v>
      </c>
      <c r="N418" s="37">
        <f t="shared" si="69"/>
        <v>0.5</v>
      </c>
      <c r="O418" s="40"/>
      <c r="P418" s="40"/>
      <c r="Q418" s="67">
        <v>1.0</v>
      </c>
      <c r="R418" s="42">
        <f t="shared" si="70"/>
        <v>1</v>
      </c>
      <c r="S418" s="45">
        <f t="shared" si="71"/>
        <v>300.5</v>
      </c>
      <c r="T418" s="33">
        <f t="shared" si="72"/>
        <v>3</v>
      </c>
      <c r="U418" s="65"/>
      <c r="V418" s="3"/>
      <c r="W418" s="3"/>
      <c r="X418" s="3"/>
      <c r="Y418" s="3"/>
      <c r="Z418" s="3"/>
    </row>
    <row r="419">
      <c r="A419" s="102" t="s">
        <v>242</v>
      </c>
      <c r="B419" s="24">
        <f t="shared" si="67"/>
        <v>300</v>
      </c>
      <c r="C419" s="36">
        <v>30.0</v>
      </c>
      <c r="D419" s="37">
        <f t="shared" si="68"/>
        <v>300</v>
      </c>
      <c r="E419" s="41"/>
      <c r="F419" s="41"/>
      <c r="G419" s="40"/>
      <c r="H419" s="40"/>
      <c r="I419" s="41"/>
      <c r="J419" s="40"/>
      <c r="K419" s="44"/>
      <c r="L419" s="41"/>
      <c r="M419" s="41"/>
      <c r="N419" s="37">
        <f t="shared" si="69"/>
        <v>0</v>
      </c>
      <c r="O419" s="40"/>
      <c r="P419" s="40"/>
      <c r="Q419" s="67">
        <v>1.0</v>
      </c>
      <c r="R419" s="42">
        <f t="shared" si="70"/>
        <v>1</v>
      </c>
      <c r="S419" s="45">
        <f t="shared" si="71"/>
        <v>301</v>
      </c>
      <c r="T419" s="33">
        <f t="shared" si="72"/>
        <v>1</v>
      </c>
      <c r="U419" s="3"/>
      <c r="V419" s="3"/>
      <c r="W419" s="3"/>
      <c r="X419" s="3"/>
      <c r="Y419" s="3"/>
      <c r="Z419" s="3"/>
    </row>
    <row r="420">
      <c r="A420" s="102" t="s">
        <v>243</v>
      </c>
      <c r="B420" s="24">
        <f t="shared" si="67"/>
        <v>300</v>
      </c>
      <c r="C420" s="36">
        <v>30.0</v>
      </c>
      <c r="D420" s="37">
        <f t="shared" si="68"/>
        <v>300</v>
      </c>
      <c r="E420" s="41"/>
      <c r="F420" s="41"/>
      <c r="G420" s="40"/>
      <c r="H420" s="40"/>
      <c r="I420" s="41">
        <v>0.5</v>
      </c>
      <c r="J420" s="40"/>
      <c r="K420" s="44"/>
      <c r="L420" s="41"/>
      <c r="M420" s="41"/>
      <c r="N420" s="37">
        <f t="shared" si="69"/>
        <v>0.5</v>
      </c>
      <c r="O420" s="40"/>
      <c r="P420" s="40"/>
      <c r="Q420" s="67">
        <v>1.0</v>
      </c>
      <c r="R420" s="42">
        <f t="shared" si="70"/>
        <v>1</v>
      </c>
      <c r="S420" s="45">
        <f t="shared" si="71"/>
        <v>300.5</v>
      </c>
      <c r="T420" s="33">
        <f t="shared" si="72"/>
        <v>3</v>
      </c>
      <c r="U420" s="65"/>
      <c r="V420" s="3"/>
      <c r="W420" s="3"/>
      <c r="X420" s="3"/>
      <c r="Y420" s="3"/>
      <c r="Z420" s="3"/>
    </row>
    <row r="421">
      <c r="A421" s="102" t="s">
        <v>244</v>
      </c>
      <c r="B421" s="24">
        <f t="shared" si="67"/>
        <v>299</v>
      </c>
      <c r="C421" s="36">
        <v>30.0</v>
      </c>
      <c r="D421" s="37">
        <f t="shared" si="68"/>
        <v>299</v>
      </c>
      <c r="E421" s="41">
        <v>4.5</v>
      </c>
      <c r="F421" s="41"/>
      <c r="G421" s="40"/>
      <c r="H421" s="40"/>
      <c r="I421" s="41"/>
      <c r="J421" s="40"/>
      <c r="K421" s="41"/>
      <c r="L421" s="41"/>
      <c r="M421" s="41"/>
      <c r="N421" s="37">
        <f t="shared" si="69"/>
        <v>4.5</v>
      </c>
      <c r="O421" s="40"/>
      <c r="P421" s="40"/>
      <c r="Q421" s="67">
        <v>1.0</v>
      </c>
      <c r="R421" s="42">
        <f t="shared" si="70"/>
        <v>1</v>
      </c>
      <c r="S421" s="45">
        <f t="shared" si="71"/>
        <v>295.5</v>
      </c>
      <c r="T421" s="33">
        <f t="shared" si="72"/>
        <v>14</v>
      </c>
      <c r="U421" s="65">
        <v>1.0</v>
      </c>
      <c r="V421" s="3"/>
      <c r="W421" s="3"/>
      <c r="X421" s="3"/>
      <c r="Y421" s="3"/>
      <c r="Z421" s="3"/>
    </row>
    <row r="422">
      <c r="A422" s="102" t="s">
        <v>245</v>
      </c>
      <c r="B422" s="24">
        <f t="shared" si="67"/>
        <v>298</v>
      </c>
      <c r="C422" s="36">
        <v>30.0</v>
      </c>
      <c r="D422" s="37">
        <f t="shared" si="68"/>
        <v>298</v>
      </c>
      <c r="E422" s="41"/>
      <c r="F422" s="41">
        <v>1.0</v>
      </c>
      <c r="G422" s="40"/>
      <c r="H422" s="40"/>
      <c r="I422" s="41">
        <v>0.5</v>
      </c>
      <c r="J422" s="38"/>
      <c r="K422" s="41"/>
      <c r="L422" s="41"/>
      <c r="M422" s="41"/>
      <c r="N422" s="37">
        <f t="shared" si="69"/>
        <v>1.5</v>
      </c>
      <c r="O422" s="40"/>
      <c r="P422" s="40"/>
      <c r="Q422" s="67">
        <v>1.0</v>
      </c>
      <c r="R422" s="42">
        <f t="shared" si="70"/>
        <v>1</v>
      </c>
      <c r="S422" s="45">
        <f t="shared" si="71"/>
        <v>297.5</v>
      </c>
      <c r="T422" s="33">
        <f t="shared" si="72"/>
        <v>11</v>
      </c>
      <c r="U422" s="65">
        <v>2.0</v>
      </c>
      <c r="V422" s="3"/>
      <c r="W422" s="3"/>
      <c r="X422" s="3"/>
      <c r="Y422" s="3"/>
      <c r="Z422" s="3"/>
    </row>
    <row r="423">
      <c r="A423" s="102" t="s">
        <v>246</v>
      </c>
      <c r="B423" s="24">
        <f t="shared" si="67"/>
        <v>300</v>
      </c>
      <c r="C423" s="36">
        <v>30.0</v>
      </c>
      <c r="D423" s="37">
        <f t="shared" si="68"/>
        <v>300</v>
      </c>
      <c r="E423" s="41">
        <v>1.5</v>
      </c>
      <c r="F423" s="41">
        <v>2.0</v>
      </c>
      <c r="G423" s="40"/>
      <c r="H423" s="40"/>
      <c r="I423" s="41"/>
      <c r="J423" s="40"/>
      <c r="K423" s="41"/>
      <c r="L423" s="41"/>
      <c r="M423" s="72"/>
      <c r="N423" s="37">
        <f t="shared" si="69"/>
        <v>3.5</v>
      </c>
      <c r="O423" s="40"/>
      <c r="P423" s="40"/>
      <c r="Q423" s="67">
        <v>1.0</v>
      </c>
      <c r="R423" s="42">
        <f t="shared" si="70"/>
        <v>1</v>
      </c>
      <c r="S423" s="47">
        <f t="shared" si="71"/>
        <v>297.5</v>
      </c>
      <c r="T423" s="33">
        <f t="shared" si="72"/>
        <v>11</v>
      </c>
      <c r="U423" s="65"/>
      <c r="V423" s="3"/>
      <c r="W423" s="3"/>
      <c r="X423" s="3"/>
      <c r="Y423" s="3"/>
      <c r="Z423" s="3"/>
    </row>
    <row r="424">
      <c r="A424" s="102" t="s">
        <v>247</v>
      </c>
      <c r="B424" s="24">
        <f t="shared" si="67"/>
        <v>300</v>
      </c>
      <c r="C424" s="36">
        <v>30.0</v>
      </c>
      <c r="D424" s="37">
        <f t="shared" si="68"/>
        <v>300</v>
      </c>
      <c r="E424" s="41"/>
      <c r="F424" s="41">
        <v>0.5</v>
      </c>
      <c r="G424" s="40"/>
      <c r="H424" s="40"/>
      <c r="I424" s="41"/>
      <c r="J424" s="38"/>
      <c r="K424" s="41"/>
      <c r="L424" s="41"/>
      <c r="M424" s="41"/>
      <c r="N424" s="37">
        <f t="shared" si="69"/>
        <v>0.5</v>
      </c>
      <c r="O424" s="40"/>
      <c r="P424" s="40"/>
      <c r="Q424" s="67">
        <v>1.0</v>
      </c>
      <c r="R424" s="42">
        <f t="shared" si="70"/>
        <v>1</v>
      </c>
      <c r="S424" s="47">
        <f t="shared" si="71"/>
        <v>300.5</v>
      </c>
      <c r="T424" s="33">
        <f t="shared" si="72"/>
        <v>3</v>
      </c>
      <c r="U424" s="65"/>
      <c r="V424" s="3"/>
      <c r="W424" s="3"/>
      <c r="X424" s="3"/>
      <c r="Y424" s="3"/>
      <c r="Z424" s="3"/>
    </row>
    <row r="425">
      <c r="A425" s="102" t="s">
        <v>248</v>
      </c>
      <c r="B425" s="24">
        <f t="shared" si="67"/>
        <v>298</v>
      </c>
      <c r="C425" s="36">
        <v>30.0</v>
      </c>
      <c r="D425" s="37">
        <f t="shared" si="68"/>
        <v>298</v>
      </c>
      <c r="E425" s="44"/>
      <c r="F425" s="41"/>
      <c r="G425" s="40"/>
      <c r="H425" s="40"/>
      <c r="I425" s="41"/>
      <c r="J425" s="40"/>
      <c r="K425" s="41"/>
      <c r="L425" s="44"/>
      <c r="M425" s="41"/>
      <c r="N425" s="37">
        <f t="shared" si="69"/>
        <v>0</v>
      </c>
      <c r="O425" s="40"/>
      <c r="P425" s="40"/>
      <c r="Q425" s="67">
        <v>1.0</v>
      </c>
      <c r="R425" s="42">
        <f t="shared" si="70"/>
        <v>1</v>
      </c>
      <c r="S425" s="43">
        <f t="shared" si="71"/>
        <v>299</v>
      </c>
      <c r="T425" s="33">
        <f t="shared" si="72"/>
        <v>9</v>
      </c>
      <c r="U425" s="65">
        <v>2.0</v>
      </c>
      <c r="V425" s="3"/>
      <c r="W425" s="3"/>
      <c r="X425" s="3"/>
      <c r="Y425" s="3"/>
      <c r="Z425" s="3"/>
    </row>
    <row r="426">
      <c r="A426" s="102" t="s">
        <v>249</v>
      </c>
      <c r="B426" s="24">
        <f t="shared" si="67"/>
        <v>300</v>
      </c>
      <c r="C426" s="36">
        <v>30.0</v>
      </c>
      <c r="D426" s="37">
        <f t="shared" si="68"/>
        <v>300</v>
      </c>
      <c r="E426" s="41"/>
      <c r="F426" s="41">
        <v>1.0</v>
      </c>
      <c r="G426" s="40"/>
      <c r="H426" s="40"/>
      <c r="I426" s="41"/>
      <c r="J426" s="40"/>
      <c r="K426" s="44"/>
      <c r="L426" s="41"/>
      <c r="M426" s="41"/>
      <c r="N426" s="37">
        <f t="shared" si="69"/>
        <v>1</v>
      </c>
      <c r="O426" s="40"/>
      <c r="P426" s="40"/>
      <c r="Q426" s="67">
        <v>1.0</v>
      </c>
      <c r="R426" s="42">
        <f t="shared" si="70"/>
        <v>1</v>
      </c>
      <c r="S426" s="45">
        <f t="shared" si="71"/>
        <v>300</v>
      </c>
      <c r="T426" s="33">
        <f t="shared" si="72"/>
        <v>7</v>
      </c>
      <c r="U426" s="65"/>
      <c r="V426" s="3"/>
      <c r="W426" s="3"/>
      <c r="X426" s="3"/>
      <c r="Y426" s="3"/>
      <c r="Z426" s="3"/>
    </row>
    <row r="427">
      <c r="A427" s="102" t="s">
        <v>250</v>
      </c>
      <c r="B427" s="24">
        <f t="shared" si="67"/>
        <v>300</v>
      </c>
      <c r="C427" s="36">
        <v>30.0</v>
      </c>
      <c r="D427" s="37">
        <f t="shared" si="68"/>
        <v>300</v>
      </c>
      <c r="E427" s="114"/>
      <c r="F427" s="41">
        <v>0.5</v>
      </c>
      <c r="G427" s="116"/>
      <c r="H427" s="40"/>
      <c r="I427" s="41"/>
      <c r="J427" s="40"/>
      <c r="K427" s="44"/>
      <c r="L427" s="41"/>
      <c r="M427" s="41"/>
      <c r="N427" s="37">
        <f t="shared" si="69"/>
        <v>0.5</v>
      </c>
      <c r="O427" s="40"/>
      <c r="P427" s="40"/>
      <c r="Q427" s="67">
        <v>1.0</v>
      </c>
      <c r="R427" s="42">
        <f t="shared" si="70"/>
        <v>1</v>
      </c>
      <c r="S427" s="45">
        <f t="shared" si="71"/>
        <v>300.5</v>
      </c>
      <c r="T427" s="33">
        <f t="shared" si="72"/>
        <v>3</v>
      </c>
      <c r="U427" s="65"/>
      <c r="V427" s="3"/>
      <c r="W427" s="3"/>
      <c r="X427" s="3"/>
      <c r="Y427" s="3"/>
      <c r="Z427" s="3"/>
    </row>
    <row r="428">
      <c r="A428" s="102" t="s">
        <v>251</v>
      </c>
      <c r="B428" s="24">
        <f t="shared" si="67"/>
        <v>299</v>
      </c>
      <c r="C428" s="36">
        <v>30.0</v>
      </c>
      <c r="D428" s="37">
        <f t="shared" si="68"/>
        <v>299</v>
      </c>
      <c r="E428" s="117"/>
      <c r="F428" s="41"/>
      <c r="G428" s="116"/>
      <c r="H428" s="40"/>
      <c r="I428" s="41"/>
      <c r="J428" s="40"/>
      <c r="K428" s="41"/>
      <c r="L428" s="41"/>
      <c r="M428" s="41"/>
      <c r="N428" s="37">
        <f t="shared" si="69"/>
        <v>0</v>
      </c>
      <c r="O428" s="40"/>
      <c r="P428" s="40"/>
      <c r="Q428" s="67">
        <v>1.0</v>
      </c>
      <c r="R428" s="42">
        <f t="shared" si="70"/>
        <v>1</v>
      </c>
      <c r="S428" s="47">
        <f t="shared" si="71"/>
        <v>300</v>
      </c>
      <c r="T428" s="33">
        <f t="shared" si="72"/>
        <v>7</v>
      </c>
      <c r="U428" s="65">
        <v>1.0</v>
      </c>
      <c r="V428" s="3"/>
      <c r="W428" s="3"/>
      <c r="X428" s="3"/>
      <c r="Y428" s="3"/>
      <c r="Z428" s="3"/>
    </row>
    <row r="429">
      <c r="A429" s="103" t="s">
        <v>252</v>
      </c>
      <c r="B429" s="49">
        <f t="shared" si="67"/>
        <v>300</v>
      </c>
      <c r="C429" s="50">
        <v>30.0</v>
      </c>
      <c r="D429" s="51">
        <f t="shared" si="68"/>
        <v>300</v>
      </c>
      <c r="E429" s="74">
        <v>3.0</v>
      </c>
      <c r="F429" s="74">
        <v>0.5</v>
      </c>
      <c r="G429" s="53"/>
      <c r="H429" s="53"/>
      <c r="I429" s="74">
        <v>0.5</v>
      </c>
      <c r="J429" s="52"/>
      <c r="K429" s="54"/>
      <c r="L429" s="74"/>
      <c r="M429" s="74"/>
      <c r="N429" s="51">
        <f t="shared" si="69"/>
        <v>4</v>
      </c>
      <c r="O429" s="53"/>
      <c r="P429" s="53"/>
      <c r="Q429" s="69">
        <v>1.0</v>
      </c>
      <c r="R429" s="56">
        <f t="shared" si="70"/>
        <v>1</v>
      </c>
      <c r="S429" s="57">
        <f t="shared" si="71"/>
        <v>297</v>
      </c>
      <c r="T429" s="33">
        <f t="shared" si="72"/>
        <v>13</v>
      </c>
      <c r="U429" s="65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104"/>
      <c r="F430" s="104"/>
      <c r="G430" s="3"/>
      <c r="H430" s="3"/>
      <c r="I430" s="104"/>
      <c r="J430" s="3"/>
      <c r="K430" s="104"/>
      <c r="L430" s="104"/>
      <c r="M430" s="61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63"/>
      <c r="B431" s="63" t="s">
        <v>37</v>
      </c>
      <c r="C431" s="3"/>
      <c r="D431" s="3"/>
      <c r="E431" s="104"/>
      <c r="F431" s="108"/>
      <c r="G431" s="63"/>
      <c r="H431" s="3"/>
      <c r="I431" s="105"/>
      <c r="J431" s="62"/>
      <c r="K431" s="105"/>
      <c r="L431" s="104"/>
      <c r="M431" s="61"/>
      <c r="N431" s="85"/>
      <c r="O431" s="62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63"/>
      <c r="B432" s="65" t="s">
        <v>438</v>
      </c>
      <c r="C432" s="3"/>
      <c r="D432" s="3"/>
      <c r="E432" s="104"/>
      <c r="F432" s="108"/>
      <c r="G432" s="63"/>
      <c r="H432" s="3"/>
      <c r="I432" s="105"/>
      <c r="J432" s="62"/>
      <c r="K432" s="104"/>
      <c r="L432" s="104"/>
      <c r="M432" s="71"/>
      <c r="N432" s="85"/>
      <c r="O432" s="62" t="s">
        <v>414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63"/>
      <c r="B433" s="65" t="s">
        <v>439</v>
      </c>
      <c r="C433" s="3"/>
      <c r="D433" s="3"/>
      <c r="E433" s="104"/>
      <c r="F433" s="108"/>
      <c r="G433" s="63"/>
      <c r="H433" s="3"/>
      <c r="I433" s="105"/>
      <c r="J433" s="62"/>
      <c r="K433" s="104"/>
      <c r="L433" s="104"/>
      <c r="M433" s="71"/>
      <c r="N433" s="85"/>
      <c r="O433" s="76" t="s">
        <v>416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63"/>
      <c r="B434" s="65" t="s">
        <v>440</v>
      </c>
      <c r="C434" s="3"/>
      <c r="D434" s="3"/>
      <c r="E434" s="104"/>
      <c r="F434" s="104"/>
      <c r="G434" s="63"/>
      <c r="H434" s="3"/>
      <c r="I434" s="105"/>
      <c r="J434" s="62"/>
      <c r="K434" s="104"/>
      <c r="L434" s="104"/>
      <c r="M434" s="71"/>
      <c r="N434" s="79"/>
      <c r="O434" s="7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63"/>
      <c r="B435" s="65" t="s">
        <v>441</v>
      </c>
      <c r="C435" s="3"/>
      <c r="D435" s="3"/>
      <c r="E435" s="104"/>
      <c r="F435" s="104"/>
      <c r="G435" s="63"/>
      <c r="H435" s="3"/>
      <c r="I435" s="105"/>
      <c r="J435" s="62"/>
      <c r="K435" s="104"/>
      <c r="L435" s="104"/>
      <c r="M435" s="71"/>
      <c r="N435" s="79"/>
      <c r="O435" s="7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65" t="s">
        <v>442</v>
      </c>
      <c r="C436" s="3"/>
      <c r="D436" s="3"/>
      <c r="E436" s="104"/>
      <c r="F436" s="104"/>
      <c r="G436" s="63"/>
      <c r="H436" s="3"/>
      <c r="I436" s="104"/>
      <c r="J436" s="3"/>
      <c r="K436" s="104"/>
      <c r="L436" s="104"/>
      <c r="M436" s="72"/>
      <c r="N436" s="82"/>
      <c r="O436" s="79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65" t="s">
        <v>443</v>
      </c>
      <c r="C437" s="3"/>
      <c r="D437" s="3"/>
      <c r="E437" s="104"/>
      <c r="F437" s="104"/>
      <c r="G437" s="63"/>
      <c r="H437" s="3"/>
      <c r="I437" s="104"/>
      <c r="J437" s="3"/>
      <c r="K437" s="104"/>
      <c r="L437" s="104"/>
      <c r="M437" s="72"/>
      <c r="N437" s="82"/>
      <c r="O437" s="79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76" t="s">
        <v>444</v>
      </c>
      <c r="C438" s="3"/>
      <c r="D438" s="3"/>
      <c r="E438" s="104"/>
      <c r="F438" s="104"/>
      <c r="G438" s="63"/>
      <c r="H438" s="3"/>
      <c r="I438" s="104"/>
      <c r="J438" s="3"/>
      <c r="K438" s="104"/>
      <c r="L438" s="104"/>
      <c r="M438" s="72"/>
      <c r="N438" s="82"/>
      <c r="O438" s="79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65" t="s">
        <v>445</v>
      </c>
      <c r="C439" s="3"/>
      <c r="D439" s="3"/>
      <c r="E439" s="104"/>
      <c r="F439" s="104"/>
      <c r="G439" s="63"/>
      <c r="H439" s="3"/>
      <c r="I439" s="104"/>
      <c r="J439" s="3"/>
      <c r="K439" s="104"/>
      <c r="L439" s="104"/>
      <c r="M439" s="72"/>
      <c r="N439" s="82"/>
      <c r="O439" s="94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65" t="s">
        <v>446</v>
      </c>
      <c r="C440" s="3"/>
      <c r="D440" s="3"/>
      <c r="E440" s="104"/>
      <c r="F440" s="104"/>
      <c r="G440" s="63"/>
      <c r="H440" s="3"/>
      <c r="I440" s="104"/>
      <c r="J440" s="3"/>
      <c r="K440" s="104"/>
      <c r="L440" s="104"/>
      <c r="M440" s="72"/>
      <c r="N440" s="82"/>
      <c r="O440" s="79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65" t="s">
        <v>447</v>
      </c>
      <c r="C441" s="3"/>
      <c r="D441" s="3"/>
      <c r="E441" s="104"/>
      <c r="F441" s="104"/>
      <c r="G441" s="63"/>
      <c r="H441" s="3"/>
      <c r="I441" s="104"/>
      <c r="J441" s="3"/>
      <c r="K441" s="104"/>
      <c r="L441" s="104"/>
      <c r="M441" s="72"/>
      <c r="N441" s="82"/>
      <c r="O441" s="79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65" t="s">
        <v>359</v>
      </c>
      <c r="C442" s="3"/>
      <c r="D442" s="3"/>
      <c r="E442" s="104"/>
      <c r="F442" s="104"/>
      <c r="G442" s="63"/>
      <c r="H442" s="3"/>
      <c r="I442" s="104"/>
      <c r="J442" s="3"/>
      <c r="K442" s="104"/>
      <c r="L442" s="104"/>
      <c r="M442" s="72"/>
      <c r="N442" s="82"/>
      <c r="O442" s="79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65" t="s">
        <v>448</v>
      </c>
      <c r="C443" s="3"/>
      <c r="D443" s="3"/>
      <c r="E443" s="104"/>
      <c r="F443" s="104"/>
      <c r="G443" s="3"/>
      <c r="H443" s="3"/>
      <c r="I443" s="104"/>
      <c r="J443" s="3"/>
      <c r="K443" s="104"/>
      <c r="L443" s="104"/>
      <c r="M443" s="61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104"/>
      <c r="F444" s="104"/>
      <c r="G444" s="3"/>
      <c r="H444" s="3"/>
      <c r="I444" s="104"/>
      <c r="J444" s="3"/>
      <c r="K444" s="104"/>
      <c r="L444" s="104"/>
      <c r="M444" s="61"/>
      <c r="N444" s="3"/>
      <c r="O444" s="7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104"/>
      <c r="F445" s="104"/>
      <c r="G445" s="3"/>
      <c r="H445" s="3"/>
      <c r="I445" s="104"/>
      <c r="J445" s="3"/>
      <c r="K445" s="104"/>
      <c r="L445" s="104"/>
      <c r="M445" s="61"/>
      <c r="N445" s="3"/>
      <c r="O445" s="79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104"/>
      <c r="F446" s="104"/>
      <c r="G446" s="3"/>
      <c r="H446" s="3"/>
      <c r="I446" s="104"/>
      <c r="J446" s="3"/>
      <c r="K446" s="104"/>
      <c r="L446" s="104"/>
      <c r="M446" s="61"/>
      <c r="N446" s="3"/>
      <c r="O446" s="79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" t="s">
        <v>449</v>
      </c>
      <c r="U447" s="3"/>
      <c r="V447" s="3"/>
      <c r="W447" s="3"/>
      <c r="X447" s="3"/>
      <c r="Y447" s="3"/>
      <c r="Z447" s="3"/>
    </row>
    <row r="448">
      <c r="A448" s="1" t="s">
        <v>205</v>
      </c>
      <c r="U448" s="3"/>
      <c r="V448" s="3"/>
      <c r="W448" s="3"/>
      <c r="X448" s="3"/>
      <c r="Y448" s="3"/>
      <c r="Z448" s="3"/>
    </row>
    <row r="449">
      <c r="A449" s="2"/>
      <c r="B449" s="4"/>
      <c r="C449" s="2"/>
      <c r="D449" s="2"/>
      <c r="E449" s="98"/>
      <c r="F449" s="98"/>
      <c r="G449" s="2"/>
      <c r="H449" s="2"/>
      <c r="I449" s="98"/>
      <c r="J449" s="2"/>
      <c r="K449" s="98"/>
      <c r="L449" s="98"/>
      <c r="M449" s="7"/>
      <c r="N449" s="2"/>
      <c r="O449" s="2"/>
      <c r="P449" s="2"/>
      <c r="Q449" s="2"/>
      <c r="R449" s="2"/>
      <c r="S449" s="2"/>
      <c r="T449" s="2"/>
      <c r="U449" s="3"/>
      <c r="V449" s="3"/>
      <c r="W449" s="3"/>
      <c r="X449" s="3"/>
      <c r="Y449" s="3"/>
      <c r="Z449" s="3"/>
    </row>
    <row r="450">
      <c r="A450" s="8" t="s">
        <v>2</v>
      </c>
      <c r="B450" s="9" t="s">
        <v>3</v>
      </c>
      <c r="C450" s="10"/>
      <c r="D450" s="11"/>
      <c r="E450" s="99" t="s">
        <v>4</v>
      </c>
      <c r="F450" s="10"/>
      <c r="G450" s="10"/>
      <c r="H450" s="10"/>
      <c r="I450" s="10"/>
      <c r="J450" s="10"/>
      <c r="K450" s="10"/>
      <c r="L450" s="10"/>
      <c r="M450" s="10"/>
      <c r="N450" s="11"/>
      <c r="O450" s="13" t="s">
        <v>5</v>
      </c>
      <c r="P450" s="10"/>
      <c r="Q450" s="10"/>
      <c r="R450" s="11"/>
      <c r="S450" s="14" t="s">
        <v>6</v>
      </c>
      <c r="T450" s="14" t="s">
        <v>7</v>
      </c>
      <c r="U450" s="3"/>
      <c r="V450" s="3"/>
      <c r="W450" s="3"/>
      <c r="X450" s="3"/>
      <c r="Y450" s="3"/>
      <c r="Z450" s="3"/>
    </row>
    <row r="451">
      <c r="A451" s="15"/>
      <c r="B451" s="16" t="s">
        <v>8</v>
      </c>
      <c r="C451" s="17" t="s">
        <v>9</v>
      </c>
      <c r="D451" s="14" t="s">
        <v>10</v>
      </c>
      <c r="E451" s="18" t="s">
        <v>11</v>
      </c>
      <c r="F451" s="18" t="s">
        <v>12</v>
      </c>
      <c r="G451" s="17" t="s">
        <v>13</v>
      </c>
      <c r="H451" s="17" t="s">
        <v>14</v>
      </c>
      <c r="I451" s="18" t="s">
        <v>15</v>
      </c>
      <c r="J451" s="17" t="s">
        <v>16</v>
      </c>
      <c r="K451" s="18" t="s">
        <v>17</v>
      </c>
      <c r="L451" s="18" t="s">
        <v>18</v>
      </c>
      <c r="M451" s="18" t="s">
        <v>19</v>
      </c>
      <c r="N451" s="14" t="s">
        <v>20</v>
      </c>
      <c r="O451" s="17" t="s">
        <v>21</v>
      </c>
      <c r="P451" s="17" t="s">
        <v>22</v>
      </c>
      <c r="Q451" s="17" t="s">
        <v>23</v>
      </c>
      <c r="R451" s="14" t="s">
        <v>24</v>
      </c>
      <c r="S451" s="19"/>
      <c r="T451" s="19"/>
      <c r="U451" s="3"/>
      <c r="V451" s="3"/>
      <c r="W451" s="3"/>
      <c r="X451" s="3"/>
      <c r="Y451" s="3"/>
      <c r="Z451" s="3"/>
    </row>
    <row r="452">
      <c r="A452" s="20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3"/>
      <c r="V452" s="3"/>
      <c r="W452" s="3"/>
      <c r="X452" s="3"/>
      <c r="Y452" s="3"/>
      <c r="Z452" s="3"/>
    </row>
    <row r="453">
      <c r="A453" s="100">
        <v>11.0</v>
      </c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3"/>
      <c r="V453" s="3"/>
      <c r="W453" s="3"/>
      <c r="X453" s="3"/>
      <c r="Y453" s="3"/>
      <c r="Z453" s="3"/>
    </row>
    <row r="454">
      <c r="A454" s="101" t="s">
        <v>239</v>
      </c>
      <c r="B454" s="24">
        <f t="shared" ref="B454:B467" si="73">300-U454</f>
        <v>300</v>
      </c>
      <c r="C454" s="25">
        <v>30.0</v>
      </c>
      <c r="D454" s="26">
        <f t="shared" ref="D454:D467" si="74">B454</f>
        <v>300</v>
      </c>
      <c r="E454" s="30"/>
      <c r="F454" s="73"/>
      <c r="G454" s="29"/>
      <c r="H454" s="29"/>
      <c r="I454" s="73"/>
      <c r="J454" s="29"/>
      <c r="K454" s="30"/>
      <c r="L454" s="73"/>
      <c r="M454" s="73"/>
      <c r="N454" s="26">
        <f t="shared" ref="N454:N467" si="75">SUM(E454:M454)</f>
        <v>0</v>
      </c>
      <c r="O454" s="29"/>
      <c r="P454" s="29"/>
      <c r="Q454" s="83">
        <v>1.0</v>
      </c>
      <c r="R454" s="31">
        <f t="shared" ref="R454:R467" si="76">SUM(O454:Q454)</f>
        <v>1</v>
      </c>
      <c r="S454" s="32">
        <f t="shared" ref="S454:S467" si="77">D454-N454+R454</f>
        <v>301</v>
      </c>
      <c r="T454" s="33">
        <f t="shared" ref="T454:T467" si="78">RANK(S454,$S$454:$S$467,0)</f>
        <v>2</v>
      </c>
      <c r="U454" s="65"/>
      <c r="V454" s="3"/>
      <c r="W454" s="3"/>
      <c r="X454" s="3"/>
      <c r="Y454" s="3"/>
      <c r="Z454" s="3"/>
    </row>
    <row r="455">
      <c r="A455" s="102" t="s">
        <v>240</v>
      </c>
      <c r="B455" s="24">
        <f t="shared" si="73"/>
        <v>300</v>
      </c>
      <c r="C455" s="36">
        <v>30.0</v>
      </c>
      <c r="D455" s="37">
        <f t="shared" si="74"/>
        <v>300</v>
      </c>
      <c r="E455" s="41"/>
      <c r="F455" s="41"/>
      <c r="G455" s="40"/>
      <c r="H455" s="40"/>
      <c r="I455" s="41"/>
      <c r="J455" s="40"/>
      <c r="K455" s="44"/>
      <c r="L455" s="41">
        <v>0.5</v>
      </c>
      <c r="M455" s="41">
        <v>0.5</v>
      </c>
      <c r="N455" s="37">
        <f t="shared" si="75"/>
        <v>1</v>
      </c>
      <c r="O455" s="40"/>
      <c r="P455" s="40"/>
      <c r="Q455" s="67">
        <v>1.0</v>
      </c>
      <c r="R455" s="42">
        <f t="shared" si="76"/>
        <v>1</v>
      </c>
      <c r="S455" s="43">
        <f t="shared" si="77"/>
        <v>300</v>
      </c>
      <c r="T455" s="33">
        <f t="shared" si="78"/>
        <v>6</v>
      </c>
      <c r="U455" s="3"/>
      <c r="V455" s="3"/>
      <c r="W455" s="3"/>
      <c r="X455" s="3"/>
      <c r="Y455" s="3"/>
      <c r="Z455" s="3"/>
    </row>
    <row r="456">
      <c r="A456" s="102" t="s">
        <v>241</v>
      </c>
      <c r="B456" s="24">
        <f t="shared" si="73"/>
        <v>300</v>
      </c>
      <c r="C456" s="36">
        <v>30.0</v>
      </c>
      <c r="D456" s="37">
        <f t="shared" si="74"/>
        <v>300</v>
      </c>
      <c r="E456" s="88">
        <v>1.5</v>
      </c>
      <c r="F456" s="41"/>
      <c r="G456" s="40"/>
      <c r="H456" s="40"/>
      <c r="I456" s="41"/>
      <c r="J456" s="40"/>
      <c r="K456" s="41"/>
      <c r="L456" s="41"/>
      <c r="M456" s="41">
        <v>0.5</v>
      </c>
      <c r="N456" s="37">
        <f t="shared" si="75"/>
        <v>2</v>
      </c>
      <c r="O456" s="40"/>
      <c r="P456" s="40"/>
      <c r="Q456" s="67">
        <v>1.5</v>
      </c>
      <c r="R456" s="42">
        <f t="shared" si="76"/>
        <v>1.5</v>
      </c>
      <c r="S456" s="45">
        <f t="shared" si="77"/>
        <v>299.5</v>
      </c>
      <c r="T456" s="33">
        <f t="shared" si="78"/>
        <v>8</v>
      </c>
      <c r="U456" s="65"/>
      <c r="V456" s="3"/>
      <c r="W456" s="3"/>
      <c r="X456" s="3"/>
      <c r="Y456" s="3"/>
      <c r="Z456" s="3"/>
    </row>
    <row r="457">
      <c r="A457" s="102" t="s">
        <v>242</v>
      </c>
      <c r="B457" s="24">
        <f t="shared" si="73"/>
        <v>300</v>
      </c>
      <c r="C457" s="36">
        <v>30.0</v>
      </c>
      <c r="D457" s="37">
        <f t="shared" si="74"/>
        <v>300</v>
      </c>
      <c r="E457" s="41"/>
      <c r="F457" s="41">
        <v>0.5</v>
      </c>
      <c r="G457" s="40"/>
      <c r="H457" s="40"/>
      <c r="I457" s="41"/>
      <c r="J457" s="40"/>
      <c r="K457" s="44"/>
      <c r="L457" s="41"/>
      <c r="M457" s="41">
        <v>2.0</v>
      </c>
      <c r="N457" s="37">
        <f t="shared" si="75"/>
        <v>2.5</v>
      </c>
      <c r="O457" s="40"/>
      <c r="P457" s="40"/>
      <c r="Q457" s="67">
        <v>1.0</v>
      </c>
      <c r="R457" s="42">
        <f t="shared" si="76"/>
        <v>1</v>
      </c>
      <c r="S457" s="45">
        <f t="shared" si="77"/>
        <v>298.5</v>
      </c>
      <c r="T457" s="33">
        <f t="shared" si="78"/>
        <v>11</v>
      </c>
      <c r="U457" s="3"/>
      <c r="V457" s="3"/>
      <c r="W457" s="3"/>
      <c r="X457" s="3"/>
      <c r="Y457" s="3"/>
      <c r="Z457" s="3"/>
    </row>
    <row r="458">
      <c r="A458" s="102" t="s">
        <v>243</v>
      </c>
      <c r="B458" s="24">
        <f t="shared" si="73"/>
        <v>300</v>
      </c>
      <c r="C458" s="36">
        <v>30.0</v>
      </c>
      <c r="D458" s="37">
        <f t="shared" si="74"/>
        <v>300</v>
      </c>
      <c r="E458" s="41"/>
      <c r="F458" s="41"/>
      <c r="G458" s="40"/>
      <c r="H458" s="40"/>
      <c r="I458" s="41"/>
      <c r="J458" s="40"/>
      <c r="K458" s="44"/>
      <c r="L458" s="41"/>
      <c r="M458" s="41"/>
      <c r="N458" s="37">
        <f t="shared" si="75"/>
        <v>0</v>
      </c>
      <c r="O458" s="40"/>
      <c r="P458" s="40"/>
      <c r="Q458" s="67">
        <v>1.0</v>
      </c>
      <c r="R458" s="42">
        <f t="shared" si="76"/>
        <v>1</v>
      </c>
      <c r="S458" s="45">
        <f t="shared" si="77"/>
        <v>301</v>
      </c>
      <c r="T458" s="33">
        <f t="shared" si="78"/>
        <v>2</v>
      </c>
      <c r="U458" s="65"/>
      <c r="V458" s="3"/>
      <c r="W458" s="3"/>
      <c r="X458" s="3"/>
      <c r="Y458" s="3"/>
      <c r="Z458" s="3"/>
    </row>
    <row r="459">
      <c r="A459" s="102" t="s">
        <v>244</v>
      </c>
      <c r="B459" s="24">
        <f t="shared" si="73"/>
        <v>300</v>
      </c>
      <c r="C459" s="36">
        <v>30.0</v>
      </c>
      <c r="D459" s="37">
        <f t="shared" si="74"/>
        <v>300</v>
      </c>
      <c r="E459" s="41">
        <v>1.5</v>
      </c>
      <c r="F459" s="41">
        <v>0.5</v>
      </c>
      <c r="G459" s="40"/>
      <c r="H459" s="40"/>
      <c r="I459" s="41">
        <v>0.5</v>
      </c>
      <c r="J459" s="40"/>
      <c r="K459" s="41"/>
      <c r="L459" s="41"/>
      <c r="M459" s="41">
        <v>2.5</v>
      </c>
      <c r="N459" s="37">
        <f t="shared" si="75"/>
        <v>5</v>
      </c>
      <c r="O459" s="40"/>
      <c r="P459" s="40"/>
      <c r="Q459" s="67">
        <v>1.0</v>
      </c>
      <c r="R459" s="42">
        <f t="shared" si="76"/>
        <v>1</v>
      </c>
      <c r="S459" s="45">
        <f t="shared" si="77"/>
        <v>296</v>
      </c>
      <c r="T459" s="33">
        <f t="shared" si="78"/>
        <v>13</v>
      </c>
      <c r="U459" s="65"/>
      <c r="V459" s="3"/>
      <c r="W459" s="3"/>
      <c r="X459" s="3"/>
      <c r="Y459" s="3"/>
      <c r="Z459" s="3"/>
    </row>
    <row r="460">
      <c r="A460" s="102" t="s">
        <v>245</v>
      </c>
      <c r="B460" s="24">
        <f t="shared" si="73"/>
        <v>300</v>
      </c>
      <c r="C460" s="36">
        <v>30.0</v>
      </c>
      <c r="D460" s="37">
        <f t="shared" si="74"/>
        <v>300</v>
      </c>
      <c r="E460" s="41"/>
      <c r="F460" s="41">
        <v>0.5</v>
      </c>
      <c r="G460" s="40"/>
      <c r="H460" s="40"/>
      <c r="I460" s="41"/>
      <c r="J460" s="38"/>
      <c r="K460" s="41"/>
      <c r="L460" s="41"/>
      <c r="M460" s="41">
        <v>0.5</v>
      </c>
      <c r="N460" s="37">
        <f t="shared" si="75"/>
        <v>1</v>
      </c>
      <c r="O460" s="40"/>
      <c r="P460" s="40"/>
      <c r="Q460" s="67">
        <v>1.0</v>
      </c>
      <c r="R460" s="42">
        <f t="shared" si="76"/>
        <v>1</v>
      </c>
      <c r="S460" s="45">
        <f t="shared" si="77"/>
        <v>300</v>
      </c>
      <c r="T460" s="33">
        <f t="shared" si="78"/>
        <v>6</v>
      </c>
      <c r="U460" s="65"/>
      <c r="V460" s="3"/>
      <c r="W460" s="3"/>
      <c r="X460" s="3"/>
      <c r="Y460" s="3"/>
      <c r="Z460" s="3"/>
    </row>
    <row r="461">
      <c r="A461" s="102" t="s">
        <v>246</v>
      </c>
      <c r="B461" s="24">
        <f t="shared" si="73"/>
        <v>299</v>
      </c>
      <c r="C461" s="36">
        <v>30.0</v>
      </c>
      <c r="D461" s="37">
        <f t="shared" si="74"/>
        <v>299</v>
      </c>
      <c r="E461" s="41">
        <v>4.5</v>
      </c>
      <c r="F461" s="41"/>
      <c r="G461" s="40"/>
      <c r="H461" s="40"/>
      <c r="I461" s="41"/>
      <c r="J461" s="40"/>
      <c r="K461" s="41"/>
      <c r="L461" s="41"/>
      <c r="M461" s="72">
        <v>0.5</v>
      </c>
      <c r="N461" s="37">
        <f t="shared" si="75"/>
        <v>5</v>
      </c>
      <c r="O461" s="40"/>
      <c r="P461" s="40"/>
      <c r="Q461" s="67">
        <v>1.0</v>
      </c>
      <c r="R461" s="42">
        <f t="shared" si="76"/>
        <v>1</v>
      </c>
      <c r="S461" s="47">
        <f t="shared" si="77"/>
        <v>295</v>
      </c>
      <c r="T461" s="33">
        <f t="shared" si="78"/>
        <v>14</v>
      </c>
      <c r="U461" s="65">
        <v>1.0</v>
      </c>
      <c r="V461" s="3"/>
      <c r="W461" s="3"/>
      <c r="X461" s="3"/>
      <c r="Y461" s="3"/>
      <c r="Z461" s="3"/>
    </row>
    <row r="462">
      <c r="A462" s="102" t="s">
        <v>247</v>
      </c>
      <c r="B462" s="24">
        <f t="shared" si="73"/>
        <v>299</v>
      </c>
      <c r="C462" s="36">
        <v>30.0</v>
      </c>
      <c r="D462" s="37">
        <f t="shared" si="74"/>
        <v>299</v>
      </c>
      <c r="E462" s="41">
        <v>1.5</v>
      </c>
      <c r="F462" s="41"/>
      <c r="G462" s="40"/>
      <c r="H462" s="40"/>
      <c r="I462" s="41"/>
      <c r="J462" s="38"/>
      <c r="K462" s="41"/>
      <c r="L462" s="41"/>
      <c r="M462" s="41"/>
      <c r="N462" s="37">
        <f t="shared" si="75"/>
        <v>1.5</v>
      </c>
      <c r="O462" s="40"/>
      <c r="P462" s="40"/>
      <c r="Q462" s="67">
        <v>1.0</v>
      </c>
      <c r="R462" s="42">
        <f t="shared" si="76"/>
        <v>1</v>
      </c>
      <c r="S462" s="47">
        <f t="shared" si="77"/>
        <v>298.5</v>
      </c>
      <c r="T462" s="33">
        <f t="shared" si="78"/>
        <v>11</v>
      </c>
      <c r="U462" s="65">
        <v>1.0</v>
      </c>
      <c r="V462" s="3"/>
      <c r="W462" s="3"/>
      <c r="X462" s="3"/>
      <c r="Y462" s="3"/>
      <c r="Z462" s="3"/>
    </row>
    <row r="463">
      <c r="A463" s="102" t="s">
        <v>248</v>
      </c>
      <c r="B463" s="24">
        <f t="shared" si="73"/>
        <v>300</v>
      </c>
      <c r="C463" s="36">
        <v>30.0</v>
      </c>
      <c r="D463" s="37">
        <f t="shared" si="74"/>
        <v>300</v>
      </c>
      <c r="E463" s="44"/>
      <c r="F463" s="41"/>
      <c r="G463" s="40"/>
      <c r="H463" s="40"/>
      <c r="I463" s="41"/>
      <c r="J463" s="40"/>
      <c r="K463" s="41"/>
      <c r="L463" s="44"/>
      <c r="M463" s="41"/>
      <c r="N463" s="37">
        <f t="shared" si="75"/>
        <v>0</v>
      </c>
      <c r="O463" s="40"/>
      <c r="P463" s="40"/>
      <c r="Q463" s="67">
        <v>3.0</v>
      </c>
      <c r="R463" s="42">
        <f t="shared" si="76"/>
        <v>3</v>
      </c>
      <c r="S463" s="43">
        <f t="shared" si="77"/>
        <v>303</v>
      </c>
      <c r="T463" s="33">
        <f t="shared" si="78"/>
        <v>1</v>
      </c>
      <c r="U463" s="65"/>
      <c r="V463" s="3"/>
      <c r="W463" s="3"/>
      <c r="X463" s="3"/>
      <c r="Y463" s="3"/>
      <c r="Z463" s="3"/>
    </row>
    <row r="464">
      <c r="A464" s="102" t="s">
        <v>249</v>
      </c>
      <c r="B464" s="24">
        <f t="shared" si="73"/>
        <v>300</v>
      </c>
      <c r="C464" s="36">
        <v>30.0</v>
      </c>
      <c r="D464" s="37">
        <f t="shared" si="74"/>
        <v>300</v>
      </c>
      <c r="E464" s="41"/>
      <c r="F464" s="41">
        <v>0.5</v>
      </c>
      <c r="G464" s="40"/>
      <c r="H464" s="40"/>
      <c r="I464" s="41"/>
      <c r="J464" s="40"/>
      <c r="K464" s="44"/>
      <c r="L464" s="41"/>
      <c r="M464" s="41">
        <v>1.5</v>
      </c>
      <c r="N464" s="37">
        <f t="shared" si="75"/>
        <v>2</v>
      </c>
      <c r="O464" s="40"/>
      <c r="P464" s="40"/>
      <c r="Q464" s="67">
        <v>1.0</v>
      </c>
      <c r="R464" s="42">
        <f t="shared" si="76"/>
        <v>1</v>
      </c>
      <c r="S464" s="45">
        <f t="shared" si="77"/>
        <v>299</v>
      </c>
      <c r="T464" s="33">
        <f t="shared" si="78"/>
        <v>9</v>
      </c>
      <c r="U464" s="65"/>
      <c r="V464" s="3"/>
      <c r="W464" s="3"/>
      <c r="X464" s="3"/>
      <c r="Y464" s="3"/>
      <c r="Z464" s="3"/>
    </row>
    <row r="465">
      <c r="A465" s="102" t="s">
        <v>250</v>
      </c>
      <c r="B465" s="24">
        <f t="shared" si="73"/>
        <v>300</v>
      </c>
      <c r="C465" s="36">
        <v>30.0</v>
      </c>
      <c r="D465" s="37">
        <f t="shared" si="74"/>
        <v>300</v>
      </c>
      <c r="E465" s="114"/>
      <c r="F465" s="41"/>
      <c r="G465" s="116"/>
      <c r="H465" s="40"/>
      <c r="I465" s="41"/>
      <c r="J465" s="40"/>
      <c r="K465" s="44"/>
      <c r="L465" s="41"/>
      <c r="M465" s="41">
        <v>0.5</v>
      </c>
      <c r="N465" s="37">
        <f t="shared" si="75"/>
        <v>0.5</v>
      </c>
      <c r="O465" s="40"/>
      <c r="P465" s="40"/>
      <c r="Q465" s="67">
        <v>1.0</v>
      </c>
      <c r="R465" s="42">
        <f t="shared" si="76"/>
        <v>1</v>
      </c>
      <c r="S465" s="45">
        <f t="shared" si="77"/>
        <v>300.5</v>
      </c>
      <c r="T465" s="33">
        <f t="shared" si="78"/>
        <v>5</v>
      </c>
      <c r="U465" s="65"/>
      <c r="V465" s="3"/>
      <c r="W465" s="3"/>
      <c r="X465" s="3"/>
      <c r="Y465" s="3"/>
      <c r="Z465" s="3"/>
    </row>
    <row r="466">
      <c r="A466" s="102" t="s">
        <v>251</v>
      </c>
      <c r="B466" s="24">
        <f t="shared" si="73"/>
        <v>300</v>
      </c>
      <c r="C466" s="36">
        <v>30.0</v>
      </c>
      <c r="D466" s="37">
        <f t="shared" si="74"/>
        <v>300</v>
      </c>
      <c r="E466" s="117"/>
      <c r="F466" s="41"/>
      <c r="G466" s="116"/>
      <c r="H466" s="40"/>
      <c r="I466" s="41"/>
      <c r="J466" s="40"/>
      <c r="K466" s="41"/>
      <c r="L466" s="41"/>
      <c r="M466" s="41"/>
      <c r="N466" s="37">
        <f t="shared" si="75"/>
        <v>0</v>
      </c>
      <c r="O466" s="40"/>
      <c r="P466" s="40"/>
      <c r="Q466" s="67">
        <v>1.0</v>
      </c>
      <c r="R466" s="42">
        <f t="shared" si="76"/>
        <v>1</v>
      </c>
      <c r="S466" s="47">
        <f t="shared" si="77"/>
        <v>301</v>
      </c>
      <c r="T466" s="33">
        <f t="shared" si="78"/>
        <v>2</v>
      </c>
      <c r="U466" s="65"/>
      <c r="V466" s="3"/>
      <c r="W466" s="3"/>
      <c r="X466" s="3"/>
      <c r="Y466" s="3"/>
      <c r="Z466" s="3"/>
    </row>
    <row r="467">
      <c r="A467" s="103" t="s">
        <v>252</v>
      </c>
      <c r="B467" s="49">
        <f t="shared" si="73"/>
        <v>299</v>
      </c>
      <c r="C467" s="50">
        <v>30.0</v>
      </c>
      <c r="D467" s="51">
        <f t="shared" si="74"/>
        <v>299</v>
      </c>
      <c r="E467" s="74"/>
      <c r="F467" s="74">
        <v>1.0</v>
      </c>
      <c r="G467" s="53"/>
      <c r="H467" s="53"/>
      <c r="I467" s="74">
        <v>0.5</v>
      </c>
      <c r="J467" s="52"/>
      <c r="K467" s="54"/>
      <c r="L467" s="74"/>
      <c r="M467" s="74">
        <v>1.5</v>
      </c>
      <c r="N467" s="51">
        <f t="shared" si="75"/>
        <v>3</v>
      </c>
      <c r="O467" s="53"/>
      <c r="P467" s="53"/>
      <c r="Q467" s="69">
        <v>3.0</v>
      </c>
      <c r="R467" s="56">
        <f t="shared" si="76"/>
        <v>3</v>
      </c>
      <c r="S467" s="57">
        <f t="shared" si="77"/>
        <v>299</v>
      </c>
      <c r="T467" s="33">
        <f t="shared" si="78"/>
        <v>9</v>
      </c>
      <c r="U467" s="65">
        <v>1.0</v>
      </c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104"/>
      <c r="F468" s="104"/>
      <c r="G468" s="3"/>
      <c r="H468" s="3"/>
      <c r="I468" s="104"/>
      <c r="J468" s="3"/>
      <c r="K468" s="104"/>
      <c r="L468" s="104"/>
      <c r="M468" s="61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63"/>
      <c r="B469" s="63" t="s">
        <v>37</v>
      </c>
      <c r="C469" s="3"/>
      <c r="D469" s="3"/>
      <c r="E469" s="104"/>
      <c r="F469" s="108"/>
      <c r="G469" s="63"/>
      <c r="H469" s="3"/>
      <c r="I469" s="105"/>
      <c r="J469" s="62" t="s">
        <v>450</v>
      </c>
      <c r="K469" s="105"/>
      <c r="L469" s="104"/>
      <c r="M469" s="61"/>
      <c r="N469" s="85"/>
      <c r="O469" s="62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63"/>
      <c r="B470" s="65" t="s">
        <v>451</v>
      </c>
      <c r="C470" s="3"/>
      <c r="D470" s="3"/>
      <c r="E470" s="104"/>
      <c r="F470" s="108"/>
      <c r="G470" s="63"/>
      <c r="H470" s="3"/>
      <c r="I470" s="105"/>
      <c r="J470" s="62" t="s">
        <v>452</v>
      </c>
      <c r="K470" s="104"/>
      <c r="L470" s="104"/>
      <c r="M470" s="71"/>
      <c r="N470" s="85"/>
      <c r="O470" s="76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63"/>
      <c r="B471" s="76" t="s">
        <v>453</v>
      </c>
      <c r="C471" s="3"/>
      <c r="D471" s="3"/>
      <c r="E471" s="104"/>
      <c r="F471" s="108"/>
      <c r="G471" s="63"/>
      <c r="H471" s="3"/>
      <c r="I471" s="105"/>
      <c r="J471" s="62" t="s">
        <v>454</v>
      </c>
      <c r="K471" s="104"/>
      <c r="L471" s="104"/>
      <c r="M471" s="71"/>
      <c r="N471" s="85" t="s">
        <v>455</v>
      </c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63"/>
      <c r="B472" s="65" t="s">
        <v>456</v>
      </c>
      <c r="C472" s="3"/>
      <c r="D472" s="3"/>
      <c r="E472" s="104"/>
      <c r="F472" s="104"/>
      <c r="G472" s="63"/>
      <c r="H472" s="3"/>
      <c r="I472" s="105"/>
      <c r="J472" s="62"/>
      <c r="K472" s="104"/>
      <c r="L472" s="104"/>
      <c r="M472" s="71"/>
      <c r="N472" s="79" t="s">
        <v>457</v>
      </c>
      <c r="O472" s="70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65" t="s">
        <v>458</v>
      </c>
      <c r="C473" s="3"/>
      <c r="D473" s="3"/>
      <c r="E473" s="104"/>
      <c r="F473" s="104"/>
      <c r="G473" s="63"/>
      <c r="H473" s="3"/>
      <c r="I473" s="104"/>
      <c r="J473" s="3"/>
      <c r="K473" s="104"/>
      <c r="L473" s="104"/>
      <c r="M473" s="72"/>
      <c r="N473" s="81" t="s">
        <v>459</v>
      </c>
      <c r="O473" s="79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65" t="s">
        <v>460</v>
      </c>
      <c r="C474" s="3"/>
      <c r="D474" s="3"/>
      <c r="E474" s="104"/>
      <c r="F474" s="104"/>
      <c r="G474" s="63"/>
      <c r="H474" s="3"/>
      <c r="I474" s="104"/>
      <c r="J474" s="3"/>
      <c r="K474" s="104"/>
      <c r="L474" s="104"/>
      <c r="M474" s="72"/>
      <c r="N474" s="82"/>
      <c r="O474" s="79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76" t="s">
        <v>461</v>
      </c>
      <c r="C475" s="3"/>
      <c r="D475" s="3"/>
      <c r="E475" s="104"/>
      <c r="F475" s="104"/>
      <c r="G475" s="63"/>
      <c r="H475" s="3"/>
      <c r="I475" s="104"/>
      <c r="J475" s="3"/>
      <c r="K475" s="104"/>
      <c r="L475" s="104"/>
      <c r="M475" s="72"/>
      <c r="N475" s="62" t="s">
        <v>414</v>
      </c>
      <c r="O475" s="79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65" t="s">
        <v>462</v>
      </c>
      <c r="C476" s="3"/>
      <c r="D476" s="3"/>
      <c r="E476" s="104"/>
      <c r="F476" s="104"/>
      <c r="G476" s="63"/>
      <c r="H476" s="3"/>
      <c r="I476" s="104"/>
      <c r="J476" s="3"/>
      <c r="K476" s="104"/>
      <c r="L476" s="104"/>
      <c r="M476" s="72"/>
      <c r="N476" s="76" t="s">
        <v>416</v>
      </c>
      <c r="O476" s="94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65" t="s">
        <v>463</v>
      </c>
      <c r="C477" s="3"/>
      <c r="D477" s="3"/>
      <c r="E477" s="104"/>
      <c r="F477" s="104"/>
      <c r="G477" s="63"/>
      <c r="H477" s="3"/>
      <c r="I477" s="104"/>
      <c r="J477" s="3"/>
      <c r="K477" s="104"/>
      <c r="L477" s="104"/>
      <c r="M477" s="72"/>
      <c r="N477" s="82"/>
      <c r="O477" s="79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65" t="s">
        <v>464</v>
      </c>
      <c r="C478" s="3"/>
      <c r="D478" s="3"/>
      <c r="E478" s="104"/>
      <c r="F478" s="104"/>
      <c r="G478" s="3"/>
      <c r="H478" s="3"/>
      <c r="I478" s="104"/>
      <c r="J478" s="3"/>
      <c r="K478" s="104"/>
      <c r="L478" s="104"/>
      <c r="M478" s="61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104"/>
      <c r="F479" s="104"/>
      <c r="G479" s="3"/>
      <c r="H479" s="3"/>
      <c r="I479" s="104"/>
      <c r="J479" s="3"/>
      <c r="K479" s="104"/>
      <c r="L479" s="104"/>
      <c r="M479" s="61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104"/>
      <c r="F480" s="104"/>
      <c r="G480" s="3"/>
      <c r="H480" s="3"/>
      <c r="I480" s="104"/>
      <c r="J480" s="3"/>
      <c r="K480" s="104"/>
      <c r="L480" s="104"/>
      <c r="M480" s="61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104"/>
      <c r="F481" s="104"/>
      <c r="G481" s="3"/>
      <c r="H481" s="3"/>
      <c r="I481" s="104"/>
      <c r="J481" s="3"/>
      <c r="K481" s="104"/>
      <c r="L481" s="104"/>
      <c r="M481" s="61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" t="s">
        <v>465</v>
      </c>
      <c r="U482" s="3"/>
      <c r="V482" s="3"/>
      <c r="W482" s="3"/>
      <c r="X482" s="3"/>
      <c r="Y482" s="3"/>
      <c r="Z482" s="3"/>
    </row>
    <row r="483">
      <c r="A483" s="1" t="s">
        <v>217</v>
      </c>
      <c r="U483" s="3"/>
      <c r="V483" s="3"/>
      <c r="W483" s="3"/>
      <c r="X483" s="3"/>
      <c r="Y483" s="3"/>
      <c r="Z483" s="3"/>
    </row>
    <row r="484">
      <c r="A484" s="2"/>
      <c r="B484" s="4"/>
      <c r="C484" s="2"/>
      <c r="D484" s="2"/>
      <c r="E484" s="98"/>
      <c r="F484" s="98"/>
      <c r="G484" s="2"/>
      <c r="H484" s="2"/>
      <c r="I484" s="98"/>
      <c r="J484" s="2"/>
      <c r="K484" s="98"/>
      <c r="L484" s="98"/>
      <c r="M484" s="7"/>
      <c r="N484" s="2"/>
      <c r="O484" s="2"/>
      <c r="P484" s="2"/>
      <c r="Q484" s="2"/>
      <c r="R484" s="2"/>
      <c r="S484" s="2"/>
      <c r="T484" s="2"/>
      <c r="U484" s="3"/>
      <c r="V484" s="3"/>
      <c r="W484" s="3"/>
      <c r="X484" s="3"/>
      <c r="Y484" s="3"/>
      <c r="Z484" s="3"/>
    </row>
    <row r="485">
      <c r="A485" s="8" t="s">
        <v>2</v>
      </c>
      <c r="B485" s="9" t="s">
        <v>3</v>
      </c>
      <c r="C485" s="10"/>
      <c r="D485" s="11"/>
      <c r="E485" s="99" t="s">
        <v>4</v>
      </c>
      <c r="F485" s="10"/>
      <c r="G485" s="10"/>
      <c r="H485" s="10"/>
      <c r="I485" s="10"/>
      <c r="J485" s="10"/>
      <c r="K485" s="10"/>
      <c r="L485" s="10"/>
      <c r="M485" s="10"/>
      <c r="N485" s="11"/>
      <c r="O485" s="13" t="s">
        <v>5</v>
      </c>
      <c r="P485" s="10"/>
      <c r="Q485" s="10"/>
      <c r="R485" s="11"/>
      <c r="S485" s="14" t="s">
        <v>6</v>
      </c>
      <c r="T485" s="14" t="s">
        <v>7</v>
      </c>
      <c r="U485" s="3"/>
      <c r="V485" s="3"/>
      <c r="W485" s="3"/>
      <c r="X485" s="3"/>
      <c r="Y485" s="3"/>
      <c r="Z485" s="3"/>
    </row>
    <row r="486">
      <c r="A486" s="15"/>
      <c r="B486" s="16" t="s">
        <v>8</v>
      </c>
      <c r="C486" s="17" t="s">
        <v>9</v>
      </c>
      <c r="D486" s="14" t="s">
        <v>10</v>
      </c>
      <c r="E486" s="18" t="s">
        <v>11</v>
      </c>
      <c r="F486" s="18" t="s">
        <v>12</v>
      </c>
      <c r="G486" s="17" t="s">
        <v>13</v>
      </c>
      <c r="H486" s="17" t="s">
        <v>14</v>
      </c>
      <c r="I486" s="18" t="s">
        <v>15</v>
      </c>
      <c r="J486" s="17" t="s">
        <v>16</v>
      </c>
      <c r="K486" s="18" t="s">
        <v>17</v>
      </c>
      <c r="L486" s="18" t="s">
        <v>18</v>
      </c>
      <c r="M486" s="18" t="s">
        <v>19</v>
      </c>
      <c r="N486" s="14" t="s">
        <v>20</v>
      </c>
      <c r="O486" s="17" t="s">
        <v>21</v>
      </c>
      <c r="P486" s="17" t="s">
        <v>22</v>
      </c>
      <c r="Q486" s="17" t="s">
        <v>23</v>
      </c>
      <c r="R486" s="14" t="s">
        <v>24</v>
      </c>
      <c r="S486" s="19"/>
      <c r="T486" s="19"/>
      <c r="U486" s="3"/>
      <c r="V486" s="3"/>
      <c r="W486" s="3"/>
      <c r="X486" s="3"/>
      <c r="Y486" s="3"/>
      <c r="Z486" s="3"/>
    </row>
    <row r="487">
      <c r="A487" s="20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3"/>
      <c r="V487" s="3"/>
      <c r="W487" s="3"/>
      <c r="X487" s="3"/>
      <c r="Y487" s="3"/>
      <c r="Z487" s="3"/>
    </row>
    <row r="488">
      <c r="A488" s="100">
        <v>11.0</v>
      </c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3"/>
      <c r="V488" s="3"/>
      <c r="W488" s="3"/>
      <c r="X488" s="3"/>
      <c r="Y488" s="3"/>
      <c r="Z488" s="3"/>
    </row>
    <row r="489">
      <c r="A489" s="101" t="s">
        <v>239</v>
      </c>
      <c r="B489" s="24">
        <f t="shared" ref="B489:B502" si="79">300-U489</f>
        <v>300</v>
      </c>
      <c r="C489" s="25">
        <v>30.0</v>
      </c>
      <c r="D489" s="26">
        <f t="shared" ref="D489:D502" si="80">B489</f>
        <v>300</v>
      </c>
      <c r="E489" s="30"/>
      <c r="F489" s="73"/>
      <c r="G489" s="29"/>
      <c r="H489" s="29"/>
      <c r="I489" s="73"/>
      <c r="J489" s="29"/>
      <c r="K489" s="30"/>
      <c r="L489" s="73"/>
      <c r="M489" s="73"/>
      <c r="N489" s="26">
        <f t="shared" ref="N489:N502" si="81">SUM(E489:M489)</f>
        <v>0</v>
      </c>
      <c r="O489" s="29"/>
      <c r="P489" s="29"/>
      <c r="Q489" s="83">
        <v>1.5</v>
      </c>
      <c r="R489" s="31">
        <f t="shared" ref="R489:R502" si="82">SUM(O489:Q489)</f>
        <v>1.5</v>
      </c>
      <c r="S489" s="32">
        <f t="shared" ref="S489:S502" si="83">D489-N489+R489</f>
        <v>301.5</v>
      </c>
      <c r="T489" s="33">
        <f t="shared" ref="T489:T502" si="84">RANK(S489,$S$489:$S$502,0)</f>
        <v>2</v>
      </c>
      <c r="U489" s="76">
        <v>0.0</v>
      </c>
      <c r="V489" s="3"/>
      <c r="W489" s="3"/>
      <c r="X489" s="3"/>
      <c r="Y489" s="3"/>
      <c r="Z489" s="3"/>
    </row>
    <row r="490">
      <c r="A490" s="102" t="s">
        <v>240</v>
      </c>
      <c r="B490" s="24">
        <f t="shared" si="79"/>
        <v>300</v>
      </c>
      <c r="C490" s="36">
        <v>30.0</v>
      </c>
      <c r="D490" s="37">
        <f t="shared" si="80"/>
        <v>300</v>
      </c>
      <c r="E490" s="41"/>
      <c r="F490" s="41"/>
      <c r="G490" s="40"/>
      <c r="H490" s="40"/>
      <c r="I490" s="41"/>
      <c r="J490" s="40"/>
      <c r="K490" s="44"/>
      <c r="L490" s="41"/>
      <c r="M490" s="41"/>
      <c r="N490" s="37">
        <f t="shared" si="81"/>
        <v>0</v>
      </c>
      <c r="O490" s="40"/>
      <c r="P490" s="40"/>
      <c r="Q490" s="67"/>
      <c r="R490" s="42">
        <f t="shared" si="82"/>
        <v>0</v>
      </c>
      <c r="S490" s="43">
        <f t="shared" si="83"/>
        <v>300</v>
      </c>
      <c r="T490" s="33">
        <f t="shared" si="84"/>
        <v>4</v>
      </c>
      <c r="U490" s="76">
        <v>0.0</v>
      </c>
      <c r="V490" s="3"/>
      <c r="W490" s="3"/>
      <c r="X490" s="3"/>
      <c r="Y490" s="3"/>
      <c r="Z490" s="3"/>
    </row>
    <row r="491">
      <c r="A491" s="102" t="s">
        <v>241</v>
      </c>
      <c r="B491" s="24">
        <f t="shared" si="79"/>
        <v>300</v>
      </c>
      <c r="C491" s="36">
        <v>30.0</v>
      </c>
      <c r="D491" s="37">
        <f t="shared" si="80"/>
        <v>300</v>
      </c>
      <c r="E491" s="88"/>
      <c r="F491" s="41"/>
      <c r="G491" s="40"/>
      <c r="H491" s="40"/>
      <c r="I491" s="41"/>
      <c r="J491" s="40"/>
      <c r="K491" s="41"/>
      <c r="L491" s="41"/>
      <c r="M491" s="41"/>
      <c r="N491" s="37">
        <f t="shared" si="81"/>
        <v>0</v>
      </c>
      <c r="O491" s="40"/>
      <c r="P491" s="40"/>
      <c r="Q491" s="67"/>
      <c r="R491" s="42">
        <f t="shared" si="82"/>
        <v>0</v>
      </c>
      <c r="S491" s="45">
        <f t="shared" si="83"/>
        <v>300</v>
      </c>
      <c r="T491" s="33">
        <f t="shared" si="84"/>
        <v>4</v>
      </c>
      <c r="U491" s="76">
        <v>0.0</v>
      </c>
      <c r="V491" s="3"/>
      <c r="W491" s="3"/>
      <c r="X491" s="3"/>
      <c r="Y491" s="3"/>
      <c r="Z491" s="3"/>
    </row>
    <row r="492">
      <c r="A492" s="102" t="s">
        <v>242</v>
      </c>
      <c r="B492" s="24">
        <f t="shared" si="79"/>
        <v>300</v>
      </c>
      <c r="C492" s="36">
        <v>30.0</v>
      </c>
      <c r="D492" s="37">
        <f t="shared" si="80"/>
        <v>300</v>
      </c>
      <c r="E492" s="41"/>
      <c r="F492" s="41"/>
      <c r="G492" s="40"/>
      <c r="H492" s="40"/>
      <c r="I492" s="41"/>
      <c r="J492" s="40"/>
      <c r="K492" s="44"/>
      <c r="L492" s="41"/>
      <c r="M492" s="41"/>
      <c r="N492" s="37">
        <f t="shared" si="81"/>
        <v>0</v>
      </c>
      <c r="O492" s="40"/>
      <c r="P492" s="40"/>
      <c r="Q492" s="67"/>
      <c r="R492" s="42">
        <f t="shared" si="82"/>
        <v>0</v>
      </c>
      <c r="S492" s="45">
        <f t="shared" si="83"/>
        <v>300</v>
      </c>
      <c r="T492" s="33">
        <f t="shared" si="84"/>
        <v>4</v>
      </c>
      <c r="U492" s="76">
        <v>0.0</v>
      </c>
      <c r="V492" s="3"/>
      <c r="W492" s="3"/>
      <c r="X492" s="3"/>
      <c r="Y492" s="3"/>
      <c r="Z492" s="3"/>
    </row>
    <row r="493">
      <c r="A493" s="102" t="s">
        <v>243</v>
      </c>
      <c r="B493" s="24">
        <f t="shared" si="79"/>
        <v>300</v>
      </c>
      <c r="C493" s="36">
        <v>30.0</v>
      </c>
      <c r="D493" s="37">
        <f t="shared" si="80"/>
        <v>300</v>
      </c>
      <c r="E493" s="41"/>
      <c r="F493" s="41"/>
      <c r="G493" s="40"/>
      <c r="H493" s="40"/>
      <c r="I493" s="41"/>
      <c r="J493" s="40"/>
      <c r="K493" s="44"/>
      <c r="L493" s="41"/>
      <c r="M493" s="41"/>
      <c r="N493" s="37">
        <f t="shared" si="81"/>
        <v>0</v>
      </c>
      <c r="O493" s="40"/>
      <c r="P493" s="40"/>
      <c r="Q493" s="67">
        <v>2.0</v>
      </c>
      <c r="R493" s="42">
        <f t="shared" si="82"/>
        <v>2</v>
      </c>
      <c r="S493" s="45">
        <f t="shared" si="83"/>
        <v>302</v>
      </c>
      <c r="T493" s="33">
        <f t="shared" si="84"/>
        <v>1</v>
      </c>
      <c r="U493" s="76">
        <v>0.0</v>
      </c>
      <c r="V493" s="3"/>
      <c r="W493" s="3"/>
      <c r="X493" s="3"/>
      <c r="Y493" s="3"/>
      <c r="Z493" s="3"/>
    </row>
    <row r="494">
      <c r="A494" s="102" t="s">
        <v>244</v>
      </c>
      <c r="B494" s="24">
        <f t="shared" si="79"/>
        <v>300</v>
      </c>
      <c r="C494" s="36">
        <v>30.0</v>
      </c>
      <c r="D494" s="37">
        <f t="shared" si="80"/>
        <v>300</v>
      </c>
      <c r="E494" s="88">
        <v>1.5</v>
      </c>
      <c r="F494" s="41"/>
      <c r="G494" s="40"/>
      <c r="H494" s="40"/>
      <c r="I494" s="41"/>
      <c r="J494" s="40"/>
      <c r="K494" s="41"/>
      <c r="L494" s="41"/>
      <c r="M494" s="41"/>
      <c r="N494" s="37">
        <f t="shared" si="81"/>
        <v>1.5</v>
      </c>
      <c r="O494" s="40"/>
      <c r="P494" s="40"/>
      <c r="Q494" s="67">
        <v>0.5</v>
      </c>
      <c r="R494" s="42">
        <f t="shared" si="82"/>
        <v>0.5</v>
      </c>
      <c r="S494" s="45">
        <f t="shared" si="83"/>
        <v>299</v>
      </c>
      <c r="T494" s="33">
        <f t="shared" si="84"/>
        <v>13</v>
      </c>
      <c r="U494" s="76">
        <v>0.0</v>
      </c>
      <c r="V494" s="3"/>
      <c r="W494" s="3"/>
      <c r="X494" s="3"/>
      <c r="Y494" s="3"/>
      <c r="Z494" s="3"/>
    </row>
    <row r="495">
      <c r="A495" s="102" t="s">
        <v>245</v>
      </c>
      <c r="B495" s="24">
        <f t="shared" si="79"/>
        <v>300</v>
      </c>
      <c r="C495" s="36">
        <v>30.0</v>
      </c>
      <c r="D495" s="37">
        <f t="shared" si="80"/>
        <v>300</v>
      </c>
      <c r="E495" s="41"/>
      <c r="F495" s="41"/>
      <c r="G495" s="40"/>
      <c r="H495" s="40"/>
      <c r="I495" s="41"/>
      <c r="J495" s="38"/>
      <c r="K495" s="41"/>
      <c r="L495" s="41"/>
      <c r="M495" s="41"/>
      <c r="N495" s="37">
        <f t="shared" si="81"/>
        <v>0</v>
      </c>
      <c r="O495" s="40"/>
      <c r="P495" s="40"/>
      <c r="Q495" s="67"/>
      <c r="R495" s="42">
        <f t="shared" si="82"/>
        <v>0</v>
      </c>
      <c r="S495" s="45">
        <f t="shared" si="83"/>
        <v>300</v>
      </c>
      <c r="T495" s="33">
        <f t="shared" si="84"/>
        <v>4</v>
      </c>
      <c r="U495" s="76">
        <v>0.0</v>
      </c>
      <c r="V495" s="3"/>
      <c r="W495" s="3"/>
      <c r="X495" s="3"/>
      <c r="Y495" s="3"/>
      <c r="Z495" s="3"/>
    </row>
    <row r="496">
      <c r="A496" s="102" t="s">
        <v>246</v>
      </c>
      <c r="B496" s="24">
        <f t="shared" si="79"/>
        <v>299</v>
      </c>
      <c r="C496" s="36">
        <v>30.0</v>
      </c>
      <c r="D496" s="37">
        <f t="shared" si="80"/>
        <v>299</v>
      </c>
      <c r="E496" s="41"/>
      <c r="F496" s="88">
        <v>0.5</v>
      </c>
      <c r="G496" s="40"/>
      <c r="H496" s="40"/>
      <c r="I496" s="41"/>
      <c r="J496" s="40"/>
      <c r="K496" s="41"/>
      <c r="L496" s="41"/>
      <c r="M496" s="72"/>
      <c r="N496" s="37">
        <f t="shared" si="81"/>
        <v>0.5</v>
      </c>
      <c r="O496" s="40"/>
      <c r="P496" s="40"/>
      <c r="Q496" s="67">
        <v>0.5</v>
      </c>
      <c r="R496" s="42">
        <f t="shared" si="82"/>
        <v>0.5</v>
      </c>
      <c r="S496" s="47">
        <f t="shared" si="83"/>
        <v>299</v>
      </c>
      <c r="T496" s="33">
        <f t="shared" si="84"/>
        <v>13</v>
      </c>
      <c r="U496" s="76">
        <v>1.0</v>
      </c>
      <c r="V496" s="3"/>
      <c r="W496" s="3"/>
      <c r="X496" s="3"/>
      <c r="Y496" s="3"/>
      <c r="Z496" s="3"/>
    </row>
    <row r="497">
      <c r="A497" s="102" t="s">
        <v>247</v>
      </c>
      <c r="B497" s="24">
        <f t="shared" si="79"/>
        <v>299</v>
      </c>
      <c r="C497" s="36">
        <v>30.0</v>
      </c>
      <c r="D497" s="37">
        <f t="shared" si="80"/>
        <v>299</v>
      </c>
      <c r="E497" s="41"/>
      <c r="F497" s="41"/>
      <c r="G497" s="40"/>
      <c r="H497" s="40"/>
      <c r="I497" s="41"/>
      <c r="J497" s="38"/>
      <c r="K497" s="41"/>
      <c r="L497" s="41"/>
      <c r="M497" s="41"/>
      <c r="N497" s="37">
        <f t="shared" si="81"/>
        <v>0</v>
      </c>
      <c r="O497" s="40"/>
      <c r="P497" s="40"/>
      <c r="Q497" s="67">
        <v>1.0</v>
      </c>
      <c r="R497" s="42">
        <f t="shared" si="82"/>
        <v>1</v>
      </c>
      <c r="S497" s="47">
        <f t="shared" si="83"/>
        <v>300</v>
      </c>
      <c r="T497" s="33">
        <f t="shared" si="84"/>
        <v>4</v>
      </c>
      <c r="U497" s="76">
        <v>1.0</v>
      </c>
      <c r="V497" s="3"/>
      <c r="W497" s="3"/>
      <c r="X497" s="3"/>
      <c r="Y497" s="3"/>
      <c r="Z497" s="3"/>
    </row>
    <row r="498">
      <c r="A498" s="102" t="s">
        <v>248</v>
      </c>
      <c r="B498" s="24">
        <f t="shared" si="79"/>
        <v>300</v>
      </c>
      <c r="C498" s="36">
        <v>30.0</v>
      </c>
      <c r="D498" s="37">
        <f t="shared" si="80"/>
        <v>300</v>
      </c>
      <c r="E498" s="44"/>
      <c r="F498" s="41"/>
      <c r="G498" s="40"/>
      <c r="H498" s="40"/>
      <c r="I498" s="41"/>
      <c r="J498" s="40"/>
      <c r="K498" s="41"/>
      <c r="L498" s="44"/>
      <c r="M498" s="41"/>
      <c r="N498" s="37">
        <f t="shared" si="81"/>
        <v>0</v>
      </c>
      <c r="O498" s="40"/>
      <c r="P498" s="40"/>
      <c r="Q498" s="67"/>
      <c r="R498" s="42">
        <f t="shared" si="82"/>
        <v>0</v>
      </c>
      <c r="S498" s="43">
        <f t="shared" si="83"/>
        <v>300</v>
      </c>
      <c r="T498" s="33">
        <f t="shared" si="84"/>
        <v>4</v>
      </c>
      <c r="U498" s="76">
        <v>0.0</v>
      </c>
      <c r="V498" s="3"/>
      <c r="W498" s="3"/>
      <c r="X498" s="3"/>
      <c r="Y498" s="3"/>
      <c r="Z498" s="3"/>
    </row>
    <row r="499">
      <c r="A499" s="102" t="s">
        <v>249</v>
      </c>
      <c r="B499" s="24">
        <f t="shared" si="79"/>
        <v>299</v>
      </c>
      <c r="C499" s="36">
        <v>30.0</v>
      </c>
      <c r="D499" s="37">
        <f t="shared" si="80"/>
        <v>299</v>
      </c>
      <c r="E499" s="41"/>
      <c r="F499" s="41"/>
      <c r="G499" s="40"/>
      <c r="H499" s="40"/>
      <c r="I499" s="41"/>
      <c r="J499" s="40"/>
      <c r="K499" s="44"/>
      <c r="L499" s="41"/>
      <c r="M499" s="41"/>
      <c r="N499" s="37">
        <f t="shared" si="81"/>
        <v>0</v>
      </c>
      <c r="O499" s="40"/>
      <c r="P499" s="40"/>
      <c r="Q499" s="67">
        <v>1.0</v>
      </c>
      <c r="R499" s="42">
        <f t="shared" si="82"/>
        <v>1</v>
      </c>
      <c r="S499" s="45">
        <f t="shared" si="83"/>
        <v>300</v>
      </c>
      <c r="T499" s="33">
        <f t="shared" si="84"/>
        <v>4</v>
      </c>
      <c r="U499" s="76">
        <v>1.0</v>
      </c>
      <c r="V499" s="3"/>
      <c r="W499" s="3"/>
      <c r="X499" s="3"/>
      <c r="Y499" s="3"/>
      <c r="Z499" s="3"/>
    </row>
    <row r="500">
      <c r="A500" s="102" t="s">
        <v>250</v>
      </c>
      <c r="B500" s="24">
        <f t="shared" si="79"/>
        <v>300</v>
      </c>
      <c r="C500" s="36">
        <v>30.0</v>
      </c>
      <c r="D500" s="37">
        <f t="shared" si="80"/>
        <v>300</v>
      </c>
      <c r="E500" s="123">
        <v>1.5</v>
      </c>
      <c r="F500" s="41"/>
      <c r="G500" s="116"/>
      <c r="H500" s="40"/>
      <c r="I500" s="41"/>
      <c r="J500" s="40"/>
      <c r="K500" s="44"/>
      <c r="L500" s="41"/>
      <c r="M500" s="41"/>
      <c r="N500" s="37">
        <f t="shared" si="81"/>
        <v>1.5</v>
      </c>
      <c r="O500" s="40"/>
      <c r="P500" s="40"/>
      <c r="Q500" s="67">
        <v>1.0</v>
      </c>
      <c r="R500" s="42">
        <f t="shared" si="82"/>
        <v>1</v>
      </c>
      <c r="S500" s="45">
        <f t="shared" si="83"/>
        <v>299.5</v>
      </c>
      <c r="T500" s="33">
        <f t="shared" si="84"/>
        <v>11</v>
      </c>
      <c r="U500" s="76">
        <v>0.0</v>
      </c>
      <c r="V500" s="3"/>
      <c r="W500" s="3"/>
      <c r="X500" s="3"/>
      <c r="Y500" s="3"/>
      <c r="Z500" s="3"/>
    </row>
    <row r="501">
      <c r="A501" s="102" t="s">
        <v>251</v>
      </c>
      <c r="B501" s="24">
        <f t="shared" si="79"/>
        <v>299</v>
      </c>
      <c r="C501" s="36">
        <v>30.0</v>
      </c>
      <c r="D501" s="37">
        <f t="shared" si="80"/>
        <v>299</v>
      </c>
      <c r="E501" s="117"/>
      <c r="F501" s="41"/>
      <c r="G501" s="116"/>
      <c r="H501" s="40"/>
      <c r="I501" s="41"/>
      <c r="J501" s="40"/>
      <c r="K501" s="41"/>
      <c r="L501" s="41"/>
      <c r="M501" s="41"/>
      <c r="N501" s="37">
        <f t="shared" si="81"/>
        <v>0</v>
      </c>
      <c r="O501" s="40"/>
      <c r="P501" s="40"/>
      <c r="Q501" s="67">
        <v>1.5</v>
      </c>
      <c r="R501" s="42">
        <f t="shared" si="82"/>
        <v>1.5</v>
      </c>
      <c r="S501" s="47">
        <f t="shared" si="83"/>
        <v>300.5</v>
      </c>
      <c r="T501" s="33">
        <f t="shared" si="84"/>
        <v>3</v>
      </c>
      <c r="U501" s="76">
        <v>1.0</v>
      </c>
      <c r="V501" s="3"/>
      <c r="W501" s="3"/>
      <c r="X501" s="3"/>
      <c r="Y501" s="3"/>
      <c r="Z501" s="3"/>
    </row>
    <row r="502">
      <c r="A502" s="103" t="s">
        <v>252</v>
      </c>
      <c r="B502" s="49">
        <f t="shared" si="79"/>
        <v>299</v>
      </c>
      <c r="C502" s="50">
        <v>30.0</v>
      </c>
      <c r="D502" s="51">
        <f t="shared" si="80"/>
        <v>299</v>
      </c>
      <c r="E502" s="97">
        <v>1.5</v>
      </c>
      <c r="F502" s="74"/>
      <c r="G502" s="53"/>
      <c r="H502" s="53"/>
      <c r="I502" s="74"/>
      <c r="J502" s="52"/>
      <c r="K502" s="54"/>
      <c r="L502" s="74"/>
      <c r="M502" s="74"/>
      <c r="N502" s="51">
        <f t="shared" si="81"/>
        <v>1.5</v>
      </c>
      <c r="O502" s="53"/>
      <c r="P502" s="53"/>
      <c r="Q502" s="69">
        <v>2.0</v>
      </c>
      <c r="R502" s="56">
        <f t="shared" si="82"/>
        <v>2</v>
      </c>
      <c r="S502" s="57">
        <f t="shared" si="83"/>
        <v>299.5</v>
      </c>
      <c r="T502" s="33">
        <f t="shared" si="84"/>
        <v>11</v>
      </c>
      <c r="U502" s="76">
        <v>1.0</v>
      </c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104"/>
      <c r="F503" s="104"/>
      <c r="G503" s="3"/>
      <c r="H503" s="3"/>
      <c r="I503" s="104"/>
      <c r="J503" s="3"/>
      <c r="K503" s="104"/>
      <c r="L503" s="104"/>
      <c r="M503" s="61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63"/>
      <c r="B504" s="63" t="s">
        <v>37</v>
      </c>
      <c r="C504" s="3"/>
      <c r="D504" s="3"/>
      <c r="E504" s="104"/>
      <c r="F504" s="108"/>
      <c r="G504" s="63"/>
      <c r="H504" s="3"/>
      <c r="I504" s="105"/>
      <c r="J504" s="62"/>
      <c r="K504" s="105"/>
      <c r="L504" s="104"/>
      <c r="M504" s="85" t="s">
        <v>224</v>
      </c>
      <c r="N504" s="85"/>
      <c r="O504" s="62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65" t="s">
        <v>466</v>
      </c>
      <c r="C505" s="3"/>
      <c r="D505" s="3"/>
      <c r="E505" s="104"/>
      <c r="F505" s="104"/>
      <c r="G505" s="63"/>
      <c r="H505" s="3"/>
      <c r="I505" s="104"/>
      <c r="J505" s="3"/>
      <c r="K505" s="104"/>
      <c r="L505" s="104"/>
      <c r="M505" s="110" t="s">
        <v>467</v>
      </c>
      <c r="N505" s="81"/>
      <c r="O505" s="79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76" t="s">
        <v>468</v>
      </c>
      <c r="C506" s="3"/>
      <c r="D506" s="3"/>
      <c r="E506" s="104"/>
      <c r="F506" s="104"/>
      <c r="G506" s="63"/>
      <c r="H506" s="3"/>
      <c r="I506" s="104"/>
      <c r="J506" s="3"/>
      <c r="K506" s="104"/>
      <c r="L506" s="104"/>
      <c r="M506" s="65" t="s">
        <v>469</v>
      </c>
      <c r="N506" s="62"/>
      <c r="O506" s="79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65" t="s">
        <v>470</v>
      </c>
      <c r="C507" s="3"/>
      <c r="D507" s="3"/>
      <c r="E507" s="104"/>
      <c r="F507" s="104"/>
      <c r="G507" s="63"/>
      <c r="H507" s="3"/>
      <c r="I507" s="104"/>
      <c r="J507" s="3"/>
      <c r="K507" s="104"/>
      <c r="L507" s="104"/>
      <c r="M507" s="72"/>
      <c r="N507" s="82"/>
      <c r="O507" s="79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65" t="s">
        <v>471</v>
      </c>
      <c r="C508" s="3"/>
      <c r="D508" s="3"/>
      <c r="E508" s="104"/>
      <c r="F508" s="104"/>
      <c r="G508" s="63"/>
      <c r="H508" s="3"/>
      <c r="I508" s="104"/>
      <c r="J508" s="3"/>
      <c r="K508" s="104"/>
      <c r="L508" s="104"/>
      <c r="M508" s="62" t="s">
        <v>229</v>
      </c>
      <c r="N508" s="82"/>
      <c r="O508" s="79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65" t="s">
        <v>472</v>
      </c>
      <c r="C509" s="3"/>
      <c r="D509" s="3"/>
      <c r="E509" s="104"/>
      <c r="F509" s="104"/>
      <c r="G509" s="3"/>
      <c r="H509" s="3"/>
      <c r="I509" s="104"/>
      <c r="J509" s="3"/>
      <c r="K509" s="104"/>
      <c r="L509" s="104"/>
      <c r="M509" s="62" t="s">
        <v>473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104"/>
      <c r="F510" s="104"/>
      <c r="G510" s="3"/>
      <c r="H510" s="3"/>
      <c r="I510" s="104"/>
      <c r="J510" s="3"/>
      <c r="K510" s="104"/>
      <c r="L510" s="104"/>
      <c r="M510" s="89" t="s">
        <v>233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104"/>
      <c r="F511" s="104"/>
      <c r="G511" s="3"/>
      <c r="H511" s="3"/>
      <c r="I511" s="104"/>
      <c r="J511" s="3"/>
      <c r="K511" s="104"/>
      <c r="L511" s="104"/>
      <c r="M511" s="76" t="s">
        <v>474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104"/>
      <c r="F512" s="104"/>
      <c r="G512" s="3"/>
      <c r="H512" s="3"/>
      <c r="I512" s="104"/>
      <c r="J512" s="3"/>
      <c r="K512" s="104"/>
      <c r="L512" s="104"/>
      <c r="M512" s="61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104"/>
      <c r="F513" s="104"/>
      <c r="G513" s="3"/>
      <c r="H513" s="3"/>
      <c r="I513" s="104"/>
      <c r="J513" s="3"/>
      <c r="K513" s="104"/>
      <c r="L513" s="104"/>
      <c r="M513" s="61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104"/>
      <c r="F514" s="104"/>
      <c r="G514" s="3"/>
      <c r="H514" s="3"/>
      <c r="I514" s="104"/>
      <c r="J514" s="3"/>
      <c r="K514" s="104"/>
      <c r="L514" s="104"/>
      <c r="M514" s="61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104"/>
      <c r="F515" s="104"/>
      <c r="G515" s="3"/>
      <c r="H515" s="3"/>
      <c r="I515" s="104"/>
      <c r="J515" s="3"/>
      <c r="K515" s="104"/>
      <c r="L515" s="104"/>
      <c r="M515" s="61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104"/>
      <c r="F516" s="104"/>
      <c r="G516" s="3"/>
      <c r="H516" s="3"/>
      <c r="I516" s="104"/>
      <c r="J516" s="3"/>
      <c r="K516" s="104"/>
      <c r="L516" s="104"/>
      <c r="M516" s="61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104"/>
      <c r="F517" s="104"/>
      <c r="G517" s="3"/>
      <c r="H517" s="3"/>
      <c r="I517" s="104"/>
      <c r="J517" s="3"/>
      <c r="K517" s="104"/>
      <c r="L517" s="104"/>
      <c r="M517" s="61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104"/>
      <c r="F518" s="104"/>
      <c r="G518" s="3"/>
      <c r="H518" s="3"/>
      <c r="I518" s="104"/>
      <c r="J518" s="3"/>
      <c r="K518" s="104"/>
      <c r="L518" s="104"/>
      <c r="M518" s="61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104"/>
      <c r="F519" s="104"/>
      <c r="G519" s="3"/>
      <c r="H519" s="3"/>
      <c r="I519" s="104"/>
      <c r="J519" s="3"/>
      <c r="K519" s="104"/>
      <c r="L519" s="104"/>
      <c r="M519" s="61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104"/>
      <c r="F520" s="104"/>
      <c r="G520" s="3"/>
      <c r="H520" s="3"/>
      <c r="I520" s="104"/>
      <c r="J520" s="3"/>
      <c r="K520" s="104"/>
      <c r="L520" s="104"/>
      <c r="M520" s="61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104"/>
      <c r="F521" s="104"/>
      <c r="G521" s="3"/>
      <c r="H521" s="3"/>
      <c r="I521" s="104"/>
      <c r="J521" s="3"/>
      <c r="K521" s="104"/>
      <c r="L521" s="104"/>
      <c r="M521" s="61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104"/>
      <c r="F522" s="104"/>
      <c r="G522" s="3"/>
      <c r="H522" s="3"/>
      <c r="I522" s="104"/>
      <c r="J522" s="3"/>
      <c r="K522" s="104"/>
      <c r="L522" s="104"/>
      <c r="M522" s="61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104"/>
      <c r="F523" s="104"/>
      <c r="G523" s="3"/>
      <c r="H523" s="3"/>
      <c r="I523" s="104"/>
      <c r="J523" s="3"/>
      <c r="K523" s="104"/>
      <c r="L523" s="104"/>
      <c r="M523" s="61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104"/>
      <c r="F524" s="104"/>
      <c r="G524" s="3"/>
      <c r="H524" s="3"/>
      <c r="I524" s="104"/>
      <c r="J524" s="3"/>
      <c r="K524" s="104"/>
      <c r="L524" s="104"/>
      <c r="M524" s="61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104"/>
      <c r="F525" s="104"/>
      <c r="G525" s="3"/>
      <c r="H525" s="3"/>
      <c r="I525" s="104"/>
      <c r="J525" s="3"/>
      <c r="K525" s="104"/>
      <c r="L525" s="104"/>
      <c r="M525" s="61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104"/>
      <c r="F526" s="104"/>
      <c r="G526" s="3"/>
      <c r="H526" s="3"/>
      <c r="I526" s="104"/>
      <c r="J526" s="3"/>
      <c r="K526" s="104"/>
      <c r="L526" s="104"/>
      <c r="M526" s="61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104"/>
      <c r="F527" s="104"/>
      <c r="G527" s="3"/>
      <c r="H527" s="3"/>
      <c r="I527" s="104"/>
      <c r="J527" s="3"/>
      <c r="K527" s="104"/>
      <c r="L527" s="104"/>
      <c r="M527" s="61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104"/>
      <c r="F528" s="104"/>
      <c r="G528" s="3"/>
      <c r="H528" s="3"/>
      <c r="I528" s="104"/>
      <c r="J528" s="3"/>
      <c r="K528" s="104"/>
      <c r="L528" s="104"/>
      <c r="M528" s="61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104"/>
      <c r="F529" s="104"/>
      <c r="G529" s="3"/>
      <c r="H529" s="3"/>
      <c r="I529" s="104"/>
      <c r="J529" s="3"/>
      <c r="K529" s="104"/>
      <c r="L529" s="104"/>
      <c r="M529" s="61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104"/>
      <c r="F530" s="104"/>
      <c r="G530" s="3"/>
      <c r="H530" s="3"/>
      <c r="I530" s="104"/>
      <c r="J530" s="3"/>
      <c r="K530" s="104"/>
      <c r="L530" s="104"/>
      <c r="M530" s="61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104"/>
      <c r="F531" s="104"/>
      <c r="G531" s="3"/>
      <c r="H531" s="3"/>
      <c r="I531" s="104"/>
      <c r="J531" s="3"/>
      <c r="K531" s="104"/>
      <c r="L531" s="104"/>
      <c r="M531" s="61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104"/>
      <c r="F532" s="104"/>
      <c r="G532" s="3"/>
      <c r="H532" s="3"/>
      <c r="I532" s="104"/>
      <c r="J532" s="3"/>
      <c r="K532" s="104"/>
      <c r="L532" s="104"/>
      <c r="M532" s="61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104"/>
      <c r="F533" s="104"/>
      <c r="G533" s="3"/>
      <c r="H533" s="3"/>
      <c r="I533" s="104"/>
      <c r="J533" s="3"/>
      <c r="K533" s="104"/>
      <c r="L533" s="104"/>
      <c r="M533" s="61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104"/>
      <c r="F534" s="104"/>
      <c r="G534" s="3"/>
      <c r="H534" s="3"/>
      <c r="I534" s="104"/>
      <c r="J534" s="3"/>
      <c r="K534" s="104"/>
      <c r="L534" s="104"/>
      <c r="M534" s="61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104"/>
      <c r="F535" s="104"/>
      <c r="G535" s="3"/>
      <c r="H535" s="3"/>
      <c r="I535" s="104"/>
      <c r="J535" s="3"/>
      <c r="K535" s="104"/>
      <c r="L535" s="104"/>
      <c r="M535" s="61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104"/>
      <c r="F536" s="104"/>
      <c r="G536" s="3"/>
      <c r="H536" s="3"/>
      <c r="I536" s="104"/>
      <c r="J536" s="3"/>
      <c r="K536" s="104"/>
      <c r="L536" s="104"/>
      <c r="M536" s="61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104"/>
      <c r="F537" s="104"/>
      <c r="G537" s="3"/>
      <c r="H537" s="3"/>
      <c r="I537" s="104"/>
      <c r="J537" s="3"/>
      <c r="K537" s="104"/>
      <c r="L537" s="104"/>
      <c r="M537" s="61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104"/>
      <c r="F538" s="104"/>
      <c r="G538" s="3"/>
      <c r="H538" s="3"/>
      <c r="I538" s="104"/>
      <c r="J538" s="3"/>
      <c r="K538" s="104"/>
      <c r="L538" s="104"/>
      <c r="M538" s="61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104"/>
      <c r="F539" s="104"/>
      <c r="G539" s="3"/>
      <c r="H539" s="3"/>
      <c r="I539" s="104"/>
      <c r="J539" s="3"/>
      <c r="K539" s="104"/>
      <c r="L539" s="104"/>
      <c r="M539" s="61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104"/>
      <c r="F540" s="104"/>
      <c r="G540" s="3"/>
      <c r="H540" s="3"/>
      <c r="I540" s="104"/>
      <c r="J540" s="3"/>
      <c r="K540" s="104"/>
      <c r="L540" s="104"/>
      <c r="M540" s="61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104"/>
      <c r="F541" s="104"/>
      <c r="G541" s="3"/>
      <c r="H541" s="3"/>
      <c r="I541" s="104"/>
      <c r="J541" s="3"/>
      <c r="K541" s="104"/>
      <c r="L541" s="104"/>
      <c r="M541" s="61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104"/>
      <c r="F542" s="104"/>
      <c r="G542" s="3"/>
      <c r="H542" s="3"/>
      <c r="I542" s="104"/>
      <c r="J542" s="3"/>
      <c r="K542" s="104"/>
      <c r="L542" s="104"/>
      <c r="M542" s="61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104"/>
      <c r="F543" s="104"/>
      <c r="G543" s="3"/>
      <c r="H543" s="3"/>
      <c r="I543" s="104"/>
      <c r="J543" s="3"/>
      <c r="K543" s="104"/>
      <c r="L543" s="104"/>
      <c r="M543" s="61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104"/>
      <c r="F544" s="104"/>
      <c r="G544" s="3"/>
      <c r="H544" s="3"/>
      <c r="I544" s="104"/>
      <c r="J544" s="3"/>
      <c r="K544" s="104"/>
      <c r="L544" s="104"/>
      <c r="M544" s="61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104"/>
      <c r="F545" s="104"/>
      <c r="G545" s="3"/>
      <c r="H545" s="3"/>
      <c r="I545" s="104"/>
      <c r="J545" s="3"/>
      <c r="K545" s="104"/>
      <c r="L545" s="104"/>
      <c r="M545" s="61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104"/>
      <c r="F546" s="104"/>
      <c r="G546" s="3"/>
      <c r="H546" s="3"/>
      <c r="I546" s="104"/>
      <c r="J546" s="3"/>
      <c r="K546" s="104"/>
      <c r="L546" s="104"/>
      <c r="M546" s="61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104"/>
      <c r="F547" s="104"/>
      <c r="G547" s="3"/>
      <c r="H547" s="3"/>
      <c r="I547" s="104"/>
      <c r="J547" s="3"/>
      <c r="K547" s="104"/>
      <c r="L547" s="104"/>
      <c r="M547" s="61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104"/>
      <c r="F548" s="104"/>
      <c r="G548" s="3"/>
      <c r="H548" s="3"/>
      <c r="I548" s="104"/>
      <c r="J548" s="3"/>
      <c r="K548" s="104"/>
      <c r="L548" s="104"/>
      <c r="M548" s="61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104"/>
      <c r="F549" s="104"/>
      <c r="G549" s="3"/>
      <c r="H549" s="3"/>
      <c r="I549" s="104"/>
      <c r="J549" s="3"/>
      <c r="K549" s="104"/>
      <c r="L549" s="104"/>
      <c r="M549" s="61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104"/>
      <c r="F550" s="104"/>
      <c r="G550" s="3"/>
      <c r="H550" s="3"/>
      <c r="I550" s="104"/>
      <c r="J550" s="3"/>
      <c r="K550" s="104"/>
      <c r="L550" s="104"/>
      <c r="M550" s="61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104"/>
      <c r="F551" s="104"/>
      <c r="G551" s="3"/>
      <c r="H551" s="3"/>
      <c r="I551" s="104"/>
      <c r="J551" s="3"/>
      <c r="K551" s="104"/>
      <c r="L551" s="104"/>
      <c r="M551" s="61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104"/>
      <c r="F552" s="104"/>
      <c r="G552" s="3"/>
      <c r="H552" s="3"/>
      <c r="I552" s="104"/>
      <c r="J552" s="3"/>
      <c r="K552" s="104"/>
      <c r="L552" s="104"/>
      <c r="M552" s="61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104"/>
      <c r="F553" s="104"/>
      <c r="G553" s="3"/>
      <c r="H553" s="3"/>
      <c r="I553" s="104"/>
      <c r="J553" s="3"/>
      <c r="K553" s="104"/>
      <c r="L553" s="104"/>
      <c r="M553" s="61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104"/>
      <c r="F554" s="104"/>
      <c r="G554" s="3"/>
      <c r="H554" s="3"/>
      <c r="I554" s="104"/>
      <c r="J554" s="3"/>
      <c r="K554" s="104"/>
      <c r="L554" s="104"/>
      <c r="M554" s="61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104"/>
      <c r="F555" s="104"/>
      <c r="G555" s="3"/>
      <c r="H555" s="3"/>
      <c r="I555" s="104"/>
      <c r="J555" s="3"/>
      <c r="K555" s="104"/>
      <c r="L555" s="104"/>
      <c r="M555" s="61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104"/>
      <c r="F556" s="104"/>
      <c r="G556" s="3"/>
      <c r="H556" s="3"/>
      <c r="I556" s="104"/>
      <c r="J556" s="3"/>
      <c r="K556" s="104"/>
      <c r="L556" s="104"/>
      <c r="M556" s="61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104"/>
      <c r="F557" s="104"/>
      <c r="G557" s="3"/>
      <c r="H557" s="3"/>
      <c r="I557" s="104"/>
      <c r="J557" s="3"/>
      <c r="K557" s="104"/>
      <c r="L557" s="104"/>
      <c r="M557" s="61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104"/>
      <c r="F558" s="104"/>
      <c r="G558" s="3"/>
      <c r="H558" s="3"/>
      <c r="I558" s="104"/>
      <c r="J558" s="3"/>
      <c r="K558" s="104"/>
      <c r="L558" s="104"/>
      <c r="M558" s="61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104"/>
      <c r="F559" s="104"/>
      <c r="G559" s="3"/>
      <c r="H559" s="3"/>
      <c r="I559" s="104"/>
      <c r="J559" s="3"/>
      <c r="K559" s="104"/>
      <c r="L559" s="104"/>
      <c r="M559" s="61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104"/>
      <c r="F560" s="104"/>
      <c r="G560" s="3"/>
      <c r="H560" s="3"/>
      <c r="I560" s="104"/>
      <c r="J560" s="3"/>
      <c r="K560" s="104"/>
      <c r="L560" s="104"/>
      <c r="M560" s="61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104"/>
      <c r="F561" s="104"/>
      <c r="G561" s="3"/>
      <c r="H561" s="3"/>
      <c r="I561" s="104"/>
      <c r="J561" s="3"/>
      <c r="K561" s="104"/>
      <c r="L561" s="104"/>
      <c r="M561" s="61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104"/>
      <c r="F562" s="104"/>
      <c r="G562" s="3"/>
      <c r="H562" s="3"/>
      <c r="I562" s="104"/>
      <c r="J562" s="3"/>
      <c r="K562" s="104"/>
      <c r="L562" s="104"/>
      <c r="M562" s="61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104"/>
      <c r="F563" s="104"/>
      <c r="G563" s="3"/>
      <c r="H563" s="3"/>
      <c r="I563" s="104"/>
      <c r="J563" s="3"/>
      <c r="K563" s="104"/>
      <c r="L563" s="104"/>
      <c r="M563" s="61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104"/>
      <c r="F564" s="104"/>
      <c r="G564" s="3"/>
      <c r="H564" s="3"/>
      <c r="I564" s="104"/>
      <c r="J564" s="3"/>
      <c r="K564" s="104"/>
      <c r="L564" s="104"/>
      <c r="M564" s="61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104"/>
      <c r="F565" s="104"/>
      <c r="G565" s="3"/>
      <c r="H565" s="3"/>
      <c r="I565" s="104"/>
      <c r="J565" s="3"/>
      <c r="K565" s="104"/>
      <c r="L565" s="104"/>
      <c r="M565" s="61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104"/>
      <c r="F566" s="104"/>
      <c r="G566" s="3"/>
      <c r="H566" s="3"/>
      <c r="I566" s="104"/>
      <c r="J566" s="3"/>
      <c r="K566" s="104"/>
      <c r="L566" s="104"/>
      <c r="M566" s="61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104"/>
      <c r="F567" s="104"/>
      <c r="G567" s="3"/>
      <c r="H567" s="3"/>
      <c r="I567" s="104"/>
      <c r="J567" s="3"/>
      <c r="K567" s="104"/>
      <c r="L567" s="104"/>
      <c r="M567" s="61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104"/>
      <c r="F568" s="104"/>
      <c r="G568" s="3"/>
      <c r="H568" s="3"/>
      <c r="I568" s="104"/>
      <c r="J568" s="3"/>
      <c r="K568" s="104"/>
      <c r="L568" s="104"/>
      <c r="M568" s="61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104"/>
      <c r="F569" s="104"/>
      <c r="G569" s="3"/>
      <c r="H569" s="3"/>
      <c r="I569" s="104"/>
      <c r="J569" s="3"/>
      <c r="K569" s="104"/>
      <c r="L569" s="104"/>
      <c r="M569" s="61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104"/>
      <c r="F570" s="104"/>
      <c r="G570" s="3"/>
      <c r="H570" s="3"/>
      <c r="I570" s="104"/>
      <c r="J570" s="3"/>
      <c r="K570" s="104"/>
      <c r="L570" s="104"/>
      <c r="M570" s="61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104"/>
      <c r="F571" s="104"/>
      <c r="G571" s="3"/>
      <c r="H571" s="3"/>
      <c r="I571" s="104"/>
      <c r="J571" s="3"/>
      <c r="K571" s="104"/>
      <c r="L571" s="104"/>
      <c r="M571" s="61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104"/>
      <c r="F572" s="104"/>
      <c r="G572" s="3"/>
      <c r="H572" s="3"/>
      <c r="I572" s="104"/>
      <c r="J572" s="3"/>
      <c r="K572" s="104"/>
      <c r="L572" s="104"/>
      <c r="M572" s="61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104"/>
      <c r="F573" s="104"/>
      <c r="G573" s="3"/>
      <c r="H573" s="3"/>
      <c r="I573" s="104"/>
      <c r="J573" s="3"/>
      <c r="K573" s="104"/>
      <c r="L573" s="104"/>
      <c r="M573" s="61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104"/>
      <c r="F574" s="104"/>
      <c r="G574" s="3"/>
      <c r="H574" s="3"/>
      <c r="I574" s="104"/>
      <c r="J574" s="3"/>
      <c r="K574" s="104"/>
      <c r="L574" s="104"/>
      <c r="M574" s="61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104"/>
      <c r="F575" s="104"/>
      <c r="G575" s="3"/>
      <c r="H575" s="3"/>
      <c r="I575" s="104"/>
      <c r="J575" s="3"/>
      <c r="K575" s="104"/>
      <c r="L575" s="104"/>
      <c r="M575" s="61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104"/>
      <c r="F576" s="104"/>
      <c r="G576" s="3"/>
      <c r="H576" s="3"/>
      <c r="I576" s="104"/>
      <c r="J576" s="3"/>
      <c r="K576" s="104"/>
      <c r="L576" s="104"/>
      <c r="M576" s="61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104"/>
      <c r="F577" s="104"/>
      <c r="G577" s="3"/>
      <c r="H577" s="3"/>
      <c r="I577" s="104"/>
      <c r="J577" s="3"/>
      <c r="K577" s="104"/>
      <c r="L577" s="104"/>
      <c r="M577" s="61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104"/>
      <c r="F578" s="104"/>
      <c r="G578" s="3"/>
      <c r="H578" s="3"/>
      <c r="I578" s="104"/>
      <c r="J578" s="3"/>
      <c r="K578" s="104"/>
      <c r="L578" s="104"/>
      <c r="M578" s="61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104"/>
      <c r="F579" s="104"/>
      <c r="G579" s="3"/>
      <c r="H579" s="3"/>
      <c r="I579" s="104"/>
      <c r="J579" s="3"/>
      <c r="K579" s="104"/>
      <c r="L579" s="104"/>
      <c r="M579" s="61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104"/>
      <c r="F580" s="104"/>
      <c r="G580" s="3"/>
      <c r="H580" s="3"/>
      <c r="I580" s="104"/>
      <c r="J580" s="3"/>
      <c r="K580" s="104"/>
      <c r="L580" s="104"/>
      <c r="M580" s="61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104"/>
      <c r="F581" s="104"/>
      <c r="G581" s="3"/>
      <c r="H581" s="3"/>
      <c r="I581" s="104"/>
      <c r="J581" s="3"/>
      <c r="K581" s="104"/>
      <c r="L581" s="104"/>
      <c r="M581" s="61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104"/>
      <c r="F582" s="104"/>
      <c r="G582" s="3"/>
      <c r="H582" s="3"/>
      <c r="I582" s="104"/>
      <c r="J582" s="3"/>
      <c r="K582" s="104"/>
      <c r="L582" s="104"/>
      <c r="M582" s="61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104"/>
      <c r="F583" s="104"/>
      <c r="G583" s="3"/>
      <c r="H583" s="3"/>
      <c r="I583" s="104"/>
      <c r="J583" s="3"/>
      <c r="K583" s="104"/>
      <c r="L583" s="104"/>
      <c r="M583" s="61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104"/>
      <c r="F584" s="104"/>
      <c r="G584" s="3"/>
      <c r="H584" s="3"/>
      <c r="I584" s="104"/>
      <c r="J584" s="3"/>
      <c r="K584" s="104"/>
      <c r="L584" s="104"/>
      <c r="M584" s="61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104"/>
      <c r="F585" s="104"/>
      <c r="G585" s="3"/>
      <c r="H585" s="3"/>
      <c r="I585" s="104"/>
      <c r="J585" s="3"/>
      <c r="K585" s="104"/>
      <c r="L585" s="104"/>
      <c r="M585" s="61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104"/>
      <c r="F586" s="104"/>
      <c r="G586" s="3"/>
      <c r="H586" s="3"/>
      <c r="I586" s="104"/>
      <c r="J586" s="3"/>
      <c r="K586" s="104"/>
      <c r="L586" s="104"/>
      <c r="M586" s="61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104"/>
      <c r="F587" s="104"/>
      <c r="G587" s="3"/>
      <c r="H587" s="3"/>
      <c r="I587" s="104"/>
      <c r="J587" s="3"/>
      <c r="K587" s="104"/>
      <c r="L587" s="104"/>
      <c r="M587" s="61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104"/>
      <c r="F588" s="104"/>
      <c r="G588" s="3"/>
      <c r="H588" s="3"/>
      <c r="I588" s="104"/>
      <c r="J588" s="3"/>
      <c r="K588" s="104"/>
      <c r="L588" s="104"/>
      <c r="M588" s="61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104"/>
      <c r="F589" s="104"/>
      <c r="G589" s="3"/>
      <c r="H589" s="3"/>
      <c r="I589" s="104"/>
      <c r="J589" s="3"/>
      <c r="K589" s="104"/>
      <c r="L589" s="104"/>
      <c r="M589" s="61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104"/>
      <c r="F590" s="104"/>
      <c r="G590" s="3"/>
      <c r="H590" s="3"/>
      <c r="I590" s="104"/>
      <c r="J590" s="3"/>
      <c r="K590" s="104"/>
      <c r="L590" s="104"/>
      <c r="M590" s="61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104"/>
      <c r="F591" s="104"/>
      <c r="G591" s="3"/>
      <c r="H591" s="3"/>
      <c r="I591" s="104"/>
      <c r="J591" s="3"/>
      <c r="K591" s="104"/>
      <c r="L591" s="104"/>
      <c r="M591" s="61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104"/>
      <c r="F592" s="104"/>
      <c r="G592" s="3"/>
      <c r="H592" s="3"/>
      <c r="I592" s="104"/>
      <c r="J592" s="3"/>
      <c r="K592" s="104"/>
      <c r="L592" s="104"/>
      <c r="M592" s="61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104"/>
      <c r="F593" s="104"/>
      <c r="G593" s="3"/>
      <c r="H593" s="3"/>
      <c r="I593" s="104"/>
      <c r="J593" s="3"/>
      <c r="K593" s="104"/>
      <c r="L593" s="104"/>
      <c r="M593" s="61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104"/>
      <c r="F594" s="104"/>
      <c r="G594" s="3"/>
      <c r="H594" s="3"/>
      <c r="I594" s="104"/>
      <c r="J594" s="3"/>
      <c r="K594" s="104"/>
      <c r="L594" s="104"/>
      <c r="M594" s="61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104"/>
      <c r="F595" s="104"/>
      <c r="G595" s="3"/>
      <c r="H595" s="3"/>
      <c r="I595" s="104"/>
      <c r="J595" s="3"/>
      <c r="K595" s="104"/>
      <c r="L595" s="104"/>
      <c r="M595" s="61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104"/>
      <c r="F596" s="104"/>
      <c r="G596" s="3"/>
      <c r="H596" s="3"/>
      <c r="I596" s="104"/>
      <c r="J596" s="3"/>
      <c r="K596" s="104"/>
      <c r="L596" s="104"/>
      <c r="M596" s="61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104"/>
      <c r="F597" s="104"/>
      <c r="G597" s="3"/>
      <c r="H597" s="3"/>
      <c r="I597" s="104"/>
      <c r="J597" s="3"/>
      <c r="K597" s="104"/>
      <c r="L597" s="104"/>
      <c r="M597" s="61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104"/>
      <c r="F598" s="104"/>
      <c r="G598" s="3"/>
      <c r="H598" s="3"/>
      <c r="I598" s="104"/>
      <c r="J598" s="3"/>
      <c r="K598" s="104"/>
      <c r="L598" s="104"/>
      <c r="M598" s="61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104"/>
      <c r="F599" s="104"/>
      <c r="G599" s="3"/>
      <c r="H599" s="3"/>
      <c r="I599" s="104"/>
      <c r="J599" s="3"/>
      <c r="K599" s="104"/>
      <c r="L599" s="104"/>
      <c r="M599" s="61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104"/>
      <c r="F600" s="104"/>
      <c r="G600" s="3"/>
      <c r="H600" s="3"/>
      <c r="I600" s="104"/>
      <c r="J600" s="3"/>
      <c r="K600" s="104"/>
      <c r="L600" s="104"/>
      <c r="M600" s="61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104"/>
      <c r="F601" s="104"/>
      <c r="G601" s="3"/>
      <c r="H601" s="3"/>
      <c r="I601" s="104"/>
      <c r="J601" s="3"/>
      <c r="K601" s="104"/>
      <c r="L601" s="104"/>
      <c r="M601" s="61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104"/>
      <c r="F602" s="104"/>
      <c r="G602" s="3"/>
      <c r="H602" s="3"/>
      <c r="I602" s="104"/>
      <c r="J602" s="3"/>
      <c r="K602" s="104"/>
      <c r="L602" s="104"/>
      <c r="M602" s="61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104"/>
      <c r="F603" s="104"/>
      <c r="G603" s="3"/>
      <c r="H603" s="3"/>
      <c r="I603" s="104"/>
      <c r="J603" s="3"/>
      <c r="K603" s="104"/>
      <c r="L603" s="104"/>
      <c r="M603" s="61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104"/>
      <c r="F604" s="104"/>
      <c r="G604" s="3"/>
      <c r="H604" s="3"/>
      <c r="I604" s="104"/>
      <c r="J604" s="3"/>
      <c r="K604" s="104"/>
      <c r="L604" s="104"/>
      <c r="M604" s="61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104"/>
      <c r="F605" s="104"/>
      <c r="G605" s="3"/>
      <c r="H605" s="3"/>
      <c r="I605" s="104"/>
      <c r="J605" s="3"/>
      <c r="K605" s="104"/>
      <c r="L605" s="104"/>
      <c r="M605" s="61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104"/>
      <c r="F606" s="104"/>
      <c r="G606" s="3"/>
      <c r="H606" s="3"/>
      <c r="I606" s="104"/>
      <c r="J606" s="3"/>
      <c r="K606" s="104"/>
      <c r="L606" s="104"/>
      <c r="M606" s="61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104"/>
      <c r="F607" s="104"/>
      <c r="G607" s="3"/>
      <c r="H607" s="3"/>
      <c r="I607" s="104"/>
      <c r="J607" s="3"/>
      <c r="K607" s="104"/>
      <c r="L607" s="104"/>
      <c r="M607" s="61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104"/>
      <c r="F608" s="104"/>
      <c r="G608" s="3"/>
      <c r="H608" s="3"/>
      <c r="I608" s="104"/>
      <c r="J608" s="3"/>
      <c r="K608" s="104"/>
      <c r="L608" s="104"/>
      <c r="M608" s="61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104"/>
      <c r="F609" s="104"/>
      <c r="G609" s="3"/>
      <c r="H609" s="3"/>
      <c r="I609" s="104"/>
      <c r="J609" s="3"/>
      <c r="K609" s="104"/>
      <c r="L609" s="104"/>
      <c r="M609" s="61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104"/>
      <c r="F610" s="104"/>
      <c r="G610" s="3"/>
      <c r="H610" s="3"/>
      <c r="I610" s="104"/>
      <c r="J610" s="3"/>
      <c r="K610" s="104"/>
      <c r="L610" s="104"/>
      <c r="M610" s="61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104"/>
      <c r="F611" s="104"/>
      <c r="G611" s="3"/>
      <c r="H611" s="3"/>
      <c r="I611" s="104"/>
      <c r="J611" s="3"/>
      <c r="K611" s="104"/>
      <c r="L611" s="104"/>
      <c r="M611" s="61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104"/>
      <c r="F612" s="104"/>
      <c r="G612" s="3"/>
      <c r="H612" s="3"/>
      <c r="I612" s="104"/>
      <c r="J612" s="3"/>
      <c r="K612" s="104"/>
      <c r="L612" s="104"/>
      <c r="M612" s="61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104"/>
      <c r="F613" s="104"/>
      <c r="G613" s="3"/>
      <c r="H613" s="3"/>
      <c r="I613" s="104"/>
      <c r="J613" s="3"/>
      <c r="K613" s="104"/>
      <c r="L613" s="104"/>
      <c r="M613" s="61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104"/>
      <c r="F614" s="104"/>
      <c r="G614" s="3"/>
      <c r="H614" s="3"/>
      <c r="I614" s="104"/>
      <c r="J614" s="3"/>
      <c r="K614" s="104"/>
      <c r="L614" s="104"/>
      <c r="M614" s="61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104"/>
      <c r="F615" s="104"/>
      <c r="G615" s="3"/>
      <c r="H615" s="3"/>
      <c r="I615" s="104"/>
      <c r="J615" s="3"/>
      <c r="K615" s="104"/>
      <c r="L615" s="104"/>
      <c r="M615" s="61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104"/>
      <c r="F616" s="104"/>
      <c r="G616" s="3"/>
      <c r="H616" s="3"/>
      <c r="I616" s="104"/>
      <c r="J616" s="3"/>
      <c r="K616" s="104"/>
      <c r="L616" s="104"/>
      <c r="M616" s="61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104"/>
      <c r="F617" s="104"/>
      <c r="G617" s="3"/>
      <c r="H617" s="3"/>
      <c r="I617" s="104"/>
      <c r="J617" s="3"/>
      <c r="K617" s="104"/>
      <c r="L617" s="104"/>
      <c r="M617" s="61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104"/>
      <c r="F618" s="104"/>
      <c r="G618" s="3"/>
      <c r="H618" s="3"/>
      <c r="I618" s="104"/>
      <c r="J618" s="3"/>
      <c r="K618" s="104"/>
      <c r="L618" s="104"/>
      <c r="M618" s="61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104"/>
      <c r="F619" s="104"/>
      <c r="G619" s="3"/>
      <c r="H619" s="3"/>
      <c r="I619" s="104"/>
      <c r="J619" s="3"/>
      <c r="K619" s="104"/>
      <c r="L619" s="104"/>
      <c r="M619" s="61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104"/>
      <c r="F620" s="104"/>
      <c r="G620" s="3"/>
      <c r="H620" s="3"/>
      <c r="I620" s="104"/>
      <c r="J620" s="3"/>
      <c r="K620" s="104"/>
      <c r="L620" s="104"/>
      <c r="M620" s="61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104"/>
      <c r="F621" s="104"/>
      <c r="G621" s="3"/>
      <c r="H621" s="3"/>
      <c r="I621" s="104"/>
      <c r="J621" s="3"/>
      <c r="K621" s="104"/>
      <c r="L621" s="104"/>
      <c r="M621" s="61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104"/>
      <c r="F622" s="104"/>
      <c r="G622" s="3"/>
      <c r="H622" s="3"/>
      <c r="I622" s="104"/>
      <c r="J622" s="3"/>
      <c r="K622" s="104"/>
      <c r="L622" s="104"/>
      <c r="M622" s="61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104"/>
      <c r="F623" s="104"/>
      <c r="G623" s="3"/>
      <c r="H623" s="3"/>
      <c r="I623" s="104"/>
      <c r="J623" s="3"/>
      <c r="K623" s="104"/>
      <c r="L623" s="104"/>
      <c r="M623" s="61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104"/>
      <c r="F624" s="104"/>
      <c r="G624" s="3"/>
      <c r="H624" s="3"/>
      <c r="I624" s="104"/>
      <c r="J624" s="3"/>
      <c r="K624" s="104"/>
      <c r="L624" s="104"/>
      <c r="M624" s="61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104"/>
      <c r="F625" s="104"/>
      <c r="G625" s="3"/>
      <c r="H625" s="3"/>
      <c r="I625" s="104"/>
      <c r="J625" s="3"/>
      <c r="K625" s="104"/>
      <c r="L625" s="104"/>
      <c r="M625" s="61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104"/>
      <c r="F626" s="104"/>
      <c r="G626" s="3"/>
      <c r="H626" s="3"/>
      <c r="I626" s="104"/>
      <c r="J626" s="3"/>
      <c r="K626" s="104"/>
      <c r="L626" s="104"/>
      <c r="M626" s="61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104"/>
      <c r="F627" s="104"/>
      <c r="G627" s="3"/>
      <c r="H627" s="3"/>
      <c r="I627" s="104"/>
      <c r="J627" s="3"/>
      <c r="K627" s="104"/>
      <c r="L627" s="104"/>
      <c r="M627" s="61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104"/>
      <c r="F628" s="104"/>
      <c r="G628" s="3"/>
      <c r="H628" s="3"/>
      <c r="I628" s="104"/>
      <c r="J628" s="3"/>
      <c r="K628" s="104"/>
      <c r="L628" s="104"/>
      <c r="M628" s="61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104"/>
      <c r="F629" s="104"/>
      <c r="G629" s="3"/>
      <c r="H629" s="3"/>
      <c r="I629" s="104"/>
      <c r="J629" s="3"/>
      <c r="K629" s="104"/>
      <c r="L629" s="104"/>
      <c r="M629" s="61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104"/>
      <c r="F630" s="104"/>
      <c r="G630" s="3"/>
      <c r="H630" s="3"/>
      <c r="I630" s="104"/>
      <c r="J630" s="3"/>
      <c r="K630" s="104"/>
      <c r="L630" s="104"/>
      <c r="M630" s="61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104"/>
      <c r="F631" s="104"/>
      <c r="G631" s="3"/>
      <c r="H631" s="3"/>
      <c r="I631" s="104"/>
      <c r="J631" s="3"/>
      <c r="K631" s="104"/>
      <c r="L631" s="104"/>
      <c r="M631" s="61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104"/>
      <c r="F632" s="104"/>
      <c r="G632" s="3"/>
      <c r="H632" s="3"/>
      <c r="I632" s="104"/>
      <c r="J632" s="3"/>
      <c r="K632" s="104"/>
      <c r="L632" s="104"/>
      <c r="M632" s="61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104"/>
      <c r="F633" s="104"/>
      <c r="G633" s="3"/>
      <c r="H633" s="3"/>
      <c r="I633" s="104"/>
      <c r="J633" s="3"/>
      <c r="K633" s="104"/>
      <c r="L633" s="104"/>
      <c r="M633" s="61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104"/>
      <c r="F634" s="104"/>
      <c r="G634" s="3"/>
      <c r="H634" s="3"/>
      <c r="I634" s="104"/>
      <c r="J634" s="3"/>
      <c r="K634" s="104"/>
      <c r="L634" s="104"/>
      <c r="M634" s="61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104"/>
      <c r="F635" s="104"/>
      <c r="G635" s="3"/>
      <c r="H635" s="3"/>
      <c r="I635" s="104"/>
      <c r="J635" s="3"/>
      <c r="K635" s="104"/>
      <c r="L635" s="104"/>
      <c r="M635" s="61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104"/>
      <c r="F636" s="104"/>
      <c r="G636" s="3"/>
      <c r="H636" s="3"/>
      <c r="I636" s="104"/>
      <c r="J636" s="3"/>
      <c r="K636" s="104"/>
      <c r="L636" s="104"/>
      <c r="M636" s="61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104"/>
      <c r="F637" s="104"/>
      <c r="G637" s="3"/>
      <c r="H637" s="3"/>
      <c r="I637" s="104"/>
      <c r="J637" s="3"/>
      <c r="K637" s="104"/>
      <c r="L637" s="104"/>
      <c r="M637" s="61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104"/>
      <c r="F638" s="104"/>
      <c r="G638" s="3"/>
      <c r="H638" s="3"/>
      <c r="I638" s="104"/>
      <c r="J638" s="3"/>
      <c r="K638" s="104"/>
      <c r="L638" s="104"/>
      <c r="M638" s="61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104"/>
      <c r="F639" s="104"/>
      <c r="G639" s="3"/>
      <c r="H639" s="3"/>
      <c r="I639" s="104"/>
      <c r="J639" s="3"/>
      <c r="K639" s="104"/>
      <c r="L639" s="104"/>
      <c r="M639" s="61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104"/>
      <c r="F640" s="104"/>
      <c r="G640" s="3"/>
      <c r="H640" s="3"/>
      <c r="I640" s="104"/>
      <c r="J640" s="3"/>
      <c r="K640" s="104"/>
      <c r="L640" s="104"/>
      <c r="M640" s="61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104"/>
      <c r="F641" s="104"/>
      <c r="G641" s="3"/>
      <c r="H641" s="3"/>
      <c r="I641" s="104"/>
      <c r="J641" s="3"/>
      <c r="K641" s="104"/>
      <c r="L641" s="104"/>
      <c r="M641" s="61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104"/>
      <c r="F642" s="104"/>
      <c r="G642" s="3"/>
      <c r="H642" s="3"/>
      <c r="I642" s="104"/>
      <c r="J642" s="3"/>
      <c r="K642" s="104"/>
      <c r="L642" s="104"/>
      <c r="M642" s="61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104"/>
      <c r="F643" s="104"/>
      <c r="G643" s="3"/>
      <c r="H643" s="3"/>
      <c r="I643" s="104"/>
      <c r="J643" s="3"/>
      <c r="K643" s="104"/>
      <c r="L643" s="104"/>
      <c r="M643" s="61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104"/>
      <c r="F644" s="104"/>
      <c r="G644" s="3"/>
      <c r="H644" s="3"/>
      <c r="I644" s="104"/>
      <c r="J644" s="3"/>
      <c r="K644" s="104"/>
      <c r="L644" s="104"/>
      <c r="M644" s="61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104"/>
      <c r="F645" s="104"/>
      <c r="G645" s="3"/>
      <c r="H645" s="3"/>
      <c r="I645" s="104"/>
      <c r="J645" s="3"/>
      <c r="K645" s="104"/>
      <c r="L645" s="104"/>
      <c r="M645" s="61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104"/>
      <c r="F646" s="104"/>
      <c r="G646" s="3"/>
      <c r="H646" s="3"/>
      <c r="I646" s="104"/>
      <c r="J646" s="3"/>
      <c r="K646" s="104"/>
      <c r="L646" s="104"/>
      <c r="M646" s="61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104"/>
      <c r="F647" s="104"/>
      <c r="G647" s="3"/>
      <c r="H647" s="3"/>
      <c r="I647" s="104"/>
      <c r="J647" s="3"/>
      <c r="K647" s="104"/>
      <c r="L647" s="104"/>
      <c r="M647" s="61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104"/>
      <c r="F648" s="104"/>
      <c r="G648" s="3"/>
      <c r="H648" s="3"/>
      <c r="I648" s="104"/>
      <c r="J648" s="3"/>
      <c r="K648" s="104"/>
      <c r="L648" s="104"/>
      <c r="M648" s="61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104"/>
      <c r="F649" s="104"/>
      <c r="G649" s="3"/>
      <c r="H649" s="3"/>
      <c r="I649" s="104"/>
      <c r="J649" s="3"/>
      <c r="K649" s="104"/>
      <c r="L649" s="104"/>
      <c r="M649" s="61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104"/>
      <c r="F650" s="104"/>
      <c r="G650" s="3"/>
      <c r="H650" s="3"/>
      <c r="I650" s="104"/>
      <c r="J650" s="3"/>
      <c r="K650" s="104"/>
      <c r="L650" s="104"/>
      <c r="M650" s="61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104"/>
      <c r="F651" s="104"/>
      <c r="G651" s="3"/>
      <c r="H651" s="3"/>
      <c r="I651" s="104"/>
      <c r="J651" s="3"/>
      <c r="K651" s="104"/>
      <c r="L651" s="104"/>
      <c r="M651" s="61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104"/>
      <c r="F652" s="104"/>
      <c r="G652" s="3"/>
      <c r="H652" s="3"/>
      <c r="I652" s="104"/>
      <c r="J652" s="3"/>
      <c r="K652" s="104"/>
      <c r="L652" s="104"/>
      <c r="M652" s="61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104"/>
      <c r="F653" s="104"/>
      <c r="G653" s="3"/>
      <c r="H653" s="3"/>
      <c r="I653" s="104"/>
      <c r="J653" s="3"/>
      <c r="K653" s="104"/>
      <c r="L653" s="104"/>
      <c r="M653" s="61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104"/>
      <c r="F654" s="104"/>
      <c r="G654" s="3"/>
      <c r="H654" s="3"/>
      <c r="I654" s="104"/>
      <c r="J654" s="3"/>
      <c r="K654" s="104"/>
      <c r="L654" s="104"/>
      <c r="M654" s="61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104"/>
      <c r="F655" s="104"/>
      <c r="G655" s="3"/>
      <c r="H655" s="3"/>
      <c r="I655" s="104"/>
      <c r="J655" s="3"/>
      <c r="K655" s="104"/>
      <c r="L655" s="104"/>
      <c r="M655" s="61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104"/>
      <c r="F656" s="104"/>
      <c r="G656" s="3"/>
      <c r="H656" s="3"/>
      <c r="I656" s="104"/>
      <c r="J656" s="3"/>
      <c r="K656" s="104"/>
      <c r="L656" s="104"/>
      <c r="M656" s="61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104"/>
      <c r="F657" s="104"/>
      <c r="G657" s="3"/>
      <c r="H657" s="3"/>
      <c r="I657" s="104"/>
      <c r="J657" s="3"/>
      <c r="K657" s="104"/>
      <c r="L657" s="104"/>
      <c r="M657" s="61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104"/>
      <c r="F658" s="104"/>
      <c r="G658" s="3"/>
      <c r="H658" s="3"/>
      <c r="I658" s="104"/>
      <c r="J658" s="3"/>
      <c r="K658" s="104"/>
      <c r="L658" s="104"/>
      <c r="M658" s="61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104"/>
      <c r="F659" s="104"/>
      <c r="G659" s="3"/>
      <c r="H659" s="3"/>
      <c r="I659" s="104"/>
      <c r="J659" s="3"/>
      <c r="K659" s="104"/>
      <c r="L659" s="104"/>
      <c r="M659" s="61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104"/>
      <c r="F660" s="104"/>
      <c r="G660" s="3"/>
      <c r="H660" s="3"/>
      <c r="I660" s="104"/>
      <c r="J660" s="3"/>
      <c r="K660" s="104"/>
      <c r="L660" s="104"/>
      <c r="M660" s="61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104"/>
      <c r="F661" s="104"/>
      <c r="G661" s="3"/>
      <c r="H661" s="3"/>
      <c r="I661" s="104"/>
      <c r="J661" s="3"/>
      <c r="K661" s="104"/>
      <c r="L661" s="104"/>
      <c r="M661" s="61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104"/>
      <c r="F662" s="104"/>
      <c r="G662" s="3"/>
      <c r="H662" s="3"/>
      <c r="I662" s="104"/>
      <c r="J662" s="3"/>
      <c r="K662" s="104"/>
      <c r="L662" s="104"/>
      <c r="M662" s="61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104"/>
      <c r="F663" s="104"/>
      <c r="G663" s="3"/>
      <c r="H663" s="3"/>
      <c r="I663" s="104"/>
      <c r="J663" s="3"/>
      <c r="K663" s="104"/>
      <c r="L663" s="104"/>
      <c r="M663" s="61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104"/>
      <c r="F664" s="104"/>
      <c r="G664" s="3"/>
      <c r="H664" s="3"/>
      <c r="I664" s="104"/>
      <c r="J664" s="3"/>
      <c r="K664" s="104"/>
      <c r="L664" s="104"/>
      <c r="M664" s="61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104"/>
      <c r="F665" s="104"/>
      <c r="G665" s="3"/>
      <c r="H665" s="3"/>
      <c r="I665" s="104"/>
      <c r="J665" s="3"/>
      <c r="K665" s="104"/>
      <c r="L665" s="104"/>
      <c r="M665" s="61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104"/>
      <c r="F666" s="104"/>
      <c r="G666" s="3"/>
      <c r="H666" s="3"/>
      <c r="I666" s="104"/>
      <c r="J666" s="3"/>
      <c r="K666" s="104"/>
      <c r="L666" s="104"/>
      <c r="M666" s="61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104"/>
      <c r="F667" s="104"/>
      <c r="G667" s="3"/>
      <c r="H667" s="3"/>
      <c r="I667" s="104"/>
      <c r="J667" s="3"/>
      <c r="K667" s="104"/>
      <c r="L667" s="104"/>
      <c r="M667" s="61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104"/>
      <c r="F668" s="104"/>
      <c r="G668" s="3"/>
      <c r="H668" s="3"/>
      <c r="I668" s="104"/>
      <c r="J668" s="3"/>
      <c r="K668" s="104"/>
      <c r="L668" s="104"/>
      <c r="M668" s="61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104"/>
      <c r="F669" s="104"/>
      <c r="G669" s="3"/>
      <c r="H669" s="3"/>
      <c r="I669" s="104"/>
      <c r="J669" s="3"/>
      <c r="K669" s="104"/>
      <c r="L669" s="104"/>
      <c r="M669" s="61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104"/>
      <c r="F670" s="104"/>
      <c r="G670" s="3"/>
      <c r="H670" s="3"/>
      <c r="I670" s="104"/>
      <c r="J670" s="3"/>
      <c r="K670" s="104"/>
      <c r="L670" s="104"/>
      <c r="M670" s="61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104"/>
      <c r="F671" s="104"/>
      <c r="G671" s="3"/>
      <c r="H671" s="3"/>
      <c r="I671" s="104"/>
      <c r="J671" s="3"/>
      <c r="K671" s="104"/>
      <c r="L671" s="104"/>
      <c r="M671" s="61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104"/>
      <c r="F672" s="104"/>
      <c r="G672" s="3"/>
      <c r="H672" s="3"/>
      <c r="I672" s="104"/>
      <c r="J672" s="3"/>
      <c r="K672" s="104"/>
      <c r="L672" s="104"/>
      <c r="M672" s="61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104"/>
      <c r="F673" s="104"/>
      <c r="G673" s="3"/>
      <c r="H673" s="3"/>
      <c r="I673" s="104"/>
      <c r="J673" s="3"/>
      <c r="K673" s="104"/>
      <c r="L673" s="104"/>
      <c r="M673" s="61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104"/>
      <c r="F674" s="104"/>
      <c r="G674" s="3"/>
      <c r="H674" s="3"/>
      <c r="I674" s="104"/>
      <c r="J674" s="3"/>
      <c r="K674" s="104"/>
      <c r="L674" s="104"/>
      <c r="M674" s="61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104"/>
      <c r="F675" s="104"/>
      <c r="G675" s="3"/>
      <c r="H675" s="3"/>
      <c r="I675" s="104"/>
      <c r="J675" s="3"/>
      <c r="K675" s="104"/>
      <c r="L675" s="104"/>
      <c r="M675" s="61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104"/>
      <c r="F676" s="104"/>
      <c r="G676" s="3"/>
      <c r="H676" s="3"/>
      <c r="I676" s="104"/>
      <c r="J676" s="3"/>
      <c r="K676" s="104"/>
      <c r="L676" s="104"/>
      <c r="M676" s="61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104"/>
      <c r="F677" s="104"/>
      <c r="G677" s="3"/>
      <c r="H677" s="3"/>
      <c r="I677" s="104"/>
      <c r="J677" s="3"/>
      <c r="K677" s="104"/>
      <c r="L677" s="104"/>
      <c r="M677" s="61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104"/>
      <c r="F678" s="104"/>
      <c r="G678" s="3"/>
      <c r="H678" s="3"/>
      <c r="I678" s="104"/>
      <c r="J678" s="3"/>
      <c r="K678" s="104"/>
      <c r="L678" s="104"/>
      <c r="M678" s="61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104"/>
      <c r="F679" s="104"/>
      <c r="G679" s="3"/>
      <c r="H679" s="3"/>
      <c r="I679" s="104"/>
      <c r="J679" s="3"/>
      <c r="K679" s="104"/>
      <c r="L679" s="104"/>
      <c r="M679" s="61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104"/>
      <c r="F680" s="104"/>
      <c r="G680" s="3"/>
      <c r="H680" s="3"/>
      <c r="I680" s="104"/>
      <c r="J680" s="3"/>
      <c r="K680" s="104"/>
      <c r="L680" s="104"/>
      <c r="M680" s="61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104"/>
      <c r="F681" s="104"/>
      <c r="G681" s="3"/>
      <c r="H681" s="3"/>
      <c r="I681" s="104"/>
      <c r="J681" s="3"/>
      <c r="K681" s="104"/>
      <c r="L681" s="104"/>
      <c r="M681" s="61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104"/>
      <c r="F682" s="104"/>
      <c r="G682" s="3"/>
      <c r="H682" s="3"/>
      <c r="I682" s="104"/>
      <c r="J682" s="3"/>
      <c r="K682" s="104"/>
      <c r="L682" s="104"/>
      <c r="M682" s="61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104"/>
      <c r="F683" s="104"/>
      <c r="G683" s="3"/>
      <c r="H683" s="3"/>
      <c r="I683" s="104"/>
      <c r="J683" s="3"/>
      <c r="K683" s="104"/>
      <c r="L683" s="104"/>
      <c r="M683" s="61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104"/>
      <c r="F684" s="104"/>
      <c r="G684" s="3"/>
      <c r="H684" s="3"/>
      <c r="I684" s="104"/>
      <c r="J684" s="3"/>
      <c r="K684" s="104"/>
      <c r="L684" s="104"/>
      <c r="M684" s="61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104"/>
      <c r="F685" s="104"/>
      <c r="G685" s="3"/>
      <c r="H685" s="3"/>
      <c r="I685" s="104"/>
      <c r="J685" s="3"/>
      <c r="K685" s="104"/>
      <c r="L685" s="104"/>
      <c r="M685" s="61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104"/>
      <c r="F686" s="104"/>
      <c r="G686" s="3"/>
      <c r="H686" s="3"/>
      <c r="I686" s="104"/>
      <c r="J686" s="3"/>
      <c r="K686" s="104"/>
      <c r="L686" s="104"/>
      <c r="M686" s="61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104"/>
      <c r="F687" s="104"/>
      <c r="G687" s="3"/>
      <c r="H687" s="3"/>
      <c r="I687" s="104"/>
      <c r="J687" s="3"/>
      <c r="K687" s="104"/>
      <c r="L687" s="104"/>
      <c r="M687" s="61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104"/>
      <c r="F688" s="104"/>
      <c r="G688" s="3"/>
      <c r="H688" s="3"/>
      <c r="I688" s="104"/>
      <c r="J688" s="3"/>
      <c r="K688" s="104"/>
      <c r="L688" s="104"/>
      <c r="M688" s="61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104"/>
      <c r="F689" s="104"/>
      <c r="G689" s="3"/>
      <c r="H689" s="3"/>
      <c r="I689" s="104"/>
      <c r="J689" s="3"/>
      <c r="K689" s="104"/>
      <c r="L689" s="104"/>
      <c r="M689" s="61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104"/>
      <c r="F690" s="104"/>
      <c r="G690" s="3"/>
      <c r="H690" s="3"/>
      <c r="I690" s="104"/>
      <c r="J690" s="3"/>
      <c r="K690" s="104"/>
      <c r="L690" s="104"/>
      <c r="M690" s="61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104"/>
      <c r="F691" s="104"/>
      <c r="G691" s="3"/>
      <c r="H691" s="3"/>
      <c r="I691" s="104"/>
      <c r="J691" s="3"/>
      <c r="K691" s="104"/>
      <c r="L691" s="104"/>
      <c r="M691" s="61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104"/>
      <c r="F692" s="104"/>
      <c r="G692" s="3"/>
      <c r="H692" s="3"/>
      <c r="I692" s="104"/>
      <c r="J692" s="3"/>
      <c r="K692" s="104"/>
      <c r="L692" s="104"/>
      <c r="M692" s="61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104"/>
      <c r="F693" s="104"/>
      <c r="G693" s="3"/>
      <c r="H693" s="3"/>
      <c r="I693" s="104"/>
      <c r="J693" s="3"/>
      <c r="K693" s="104"/>
      <c r="L693" s="104"/>
      <c r="M693" s="61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104"/>
      <c r="F694" s="104"/>
      <c r="G694" s="3"/>
      <c r="H694" s="3"/>
      <c r="I694" s="104"/>
      <c r="J694" s="3"/>
      <c r="K694" s="104"/>
      <c r="L694" s="104"/>
      <c r="M694" s="61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104"/>
      <c r="F695" s="104"/>
      <c r="G695" s="3"/>
      <c r="H695" s="3"/>
      <c r="I695" s="104"/>
      <c r="J695" s="3"/>
      <c r="K695" s="104"/>
      <c r="L695" s="104"/>
      <c r="M695" s="61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104"/>
      <c r="F696" s="104"/>
      <c r="G696" s="3"/>
      <c r="H696" s="3"/>
      <c r="I696" s="104"/>
      <c r="J696" s="3"/>
      <c r="K696" s="104"/>
      <c r="L696" s="104"/>
      <c r="M696" s="61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104"/>
      <c r="F697" s="104"/>
      <c r="G697" s="3"/>
      <c r="H697" s="3"/>
      <c r="I697" s="104"/>
      <c r="J697" s="3"/>
      <c r="K697" s="104"/>
      <c r="L697" s="104"/>
      <c r="M697" s="61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104"/>
      <c r="F698" s="104"/>
      <c r="G698" s="3"/>
      <c r="H698" s="3"/>
      <c r="I698" s="104"/>
      <c r="J698" s="3"/>
      <c r="K698" s="104"/>
      <c r="L698" s="104"/>
      <c r="M698" s="61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104"/>
      <c r="F699" s="104"/>
      <c r="G699" s="3"/>
      <c r="H699" s="3"/>
      <c r="I699" s="104"/>
      <c r="J699" s="3"/>
      <c r="K699" s="104"/>
      <c r="L699" s="104"/>
      <c r="M699" s="61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104"/>
      <c r="F700" s="104"/>
      <c r="G700" s="3"/>
      <c r="H700" s="3"/>
      <c r="I700" s="104"/>
      <c r="J700" s="3"/>
      <c r="K700" s="104"/>
      <c r="L700" s="104"/>
      <c r="M700" s="61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104"/>
      <c r="F701" s="104"/>
      <c r="G701" s="3"/>
      <c r="H701" s="3"/>
      <c r="I701" s="104"/>
      <c r="J701" s="3"/>
      <c r="K701" s="104"/>
      <c r="L701" s="104"/>
      <c r="M701" s="61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104"/>
      <c r="F702" s="104"/>
      <c r="G702" s="3"/>
      <c r="H702" s="3"/>
      <c r="I702" s="104"/>
      <c r="J702" s="3"/>
      <c r="K702" s="104"/>
      <c r="L702" s="104"/>
      <c r="M702" s="61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104"/>
      <c r="F703" s="104"/>
      <c r="G703" s="3"/>
      <c r="H703" s="3"/>
      <c r="I703" s="104"/>
      <c r="J703" s="3"/>
      <c r="K703" s="104"/>
      <c r="L703" s="104"/>
      <c r="M703" s="61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104"/>
      <c r="F704" s="104"/>
      <c r="G704" s="3"/>
      <c r="H704" s="3"/>
      <c r="I704" s="104"/>
      <c r="J704" s="3"/>
      <c r="K704" s="104"/>
      <c r="L704" s="104"/>
      <c r="M704" s="61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104"/>
      <c r="F705" s="104"/>
      <c r="G705" s="3"/>
      <c r="H705" s="3"/>
      <c r="I705" s="104"/>
      <c r="J705" s="3"/>
      <c r="K705" s="104"/>
      <c r="L705" s="104"/>
      <c r="M705" s="61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104"/>
      <c r="F706" s="104"/>
      <c r="G706" s="3"/>
      <c r="H706" s="3"/>
      <c r="I706" s="104"/>
      <c r="J706" s="3"/>
      <c r="K706" s="104"/>
      <c r="L706" s="104"/>
      <c r="M706" s="61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104"/>
      <c r="F707" s="104"/>
      <c r="G707" s="3"/>
      <c r="H707" s="3"/>
      <c r="I707" s="104"/>
      <c r="J707" s="3"/>
      <c r="K707" s="104"/>
      <c r="L707" s="104"/>
      <c r="M707" s="61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104"/>
      <c r="F708" s="104"/>
      <c r="G708" s="3"/>
      <c r="H708" s="3"/>
      <c r="I708" s="104"/>
      <c r="J708" s="3"/>
      <c r="K708" s="104"/>
      <c r="L708" s="104"/>
      <c r="M708" s="61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104"/>
      <c r="F709" s="104"/>
      <c r="G709" s="3"/>
      <c r="H709" s="3"/>
      <c r="I709" s="104"/>
      <c r="J709" s="3"/>
      <c r="K709" s="104"/>
      <c r="L709" s="104"/>
      <c r="M709" s="61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104"/>
      <c r="F710" s="104"/>
      <c r="G710" s="3"/>
      <c r="H710" s="3"/>
      <c r="I710" s="104"/>
      <c r="J710" s="3"/>
      <c r="K710" s="104"/>
      <c r="L710" s="104"/>
      <c r="M710" s="61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104"/>
      <c r="F711" s="104"/>
      <c r="G711" s="3"/>
      <c r="H711" s="3"/>
      <c r="I711" s="104"/>
      <c r="J711" s="3"/>
      <c r="K711" s="104"/>
      <c r="L711" s="104"/>
      <c r="M711" s="61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104"/>
      <c r="F712" s="104"/>
      <c r="G712" s="3"/>
      <c r="H712" s="3"/>
      <c r="I712" s="104"/>
      <c r="J712" s="3"/>
      <c r="K712" s="104"/>
      <c r="L712" s="104"/>
      <c r="M712" s="61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104"/>
      <c r="F713" s="104"/>
      <c r="G713" s="3"/>
      <c r="H713" s="3"/>
      <c r="I713" s="104"/>
      <c r="J713" s="3"/>
      <c r="K713" s="104"/>
      <c r="L713" s="104"/>
      <c r="M713" s="61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104"/>
      <c r="F714" s="104"/>
      <c r="G714" s="3"/>
      <c r="H714" s="3"/>
      <c r="I714" s="104"/>
      <c r="J714" s="3"/>
      <c r="K714" s="104"/>
      <c r="L714" s="104"/>
      <c r="M714" s="61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104"/>
      <c r="F715" s="104"/>
      <c r="G715" s="3"/>
      <c r="H715" s="3"/>
      <c r="I715" s="104"/>
      <c r="J715" s="3"/>
      <c r="K715" s="104"/>
      <c r="L715" s="104"/>
      <c r="M715" s="61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104"/>
      <c r="F716" s="104"/>
      <c r="G716" s="3"/>
      <c r="H716" s="3"/>
      <c r="I716" s="104"/>
      <c r="J716" s="3"/>
      <c r="K716" s="104"/>
      <c r="L716" s="104"/>
      <c r="M716" s="61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104"/>
      <c r="F717" s="104"/>
      <c r="G717" s="3"/>
      <c r="H717" s="3"/>
      <c r="I717" s="104"/>
      <c r="J717" s="3"/>
      <c r="K717" s="104"/>
      <c r="L717" s="104"/>
      <c r="M717" s="61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104"/>
      <c r="F718" s="104"/>
      <c r="G718" s="3"/>
      <c r="H718" s="3"/>
      <c r="I718" s="104"/>
      <c r="J718" s="3"/>
      <c r="K718" s="104"/>
      <c r="L718" s="104"/>
      <c r="M718" s="61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104"/>
      <c r="F719" s="104"/>
      <c r="G719" s="3"/>
      <c r="H719" s="3"/>
      <c r="I719" s="104"/>
      <c r="J719" s="3"/>
      <c r="K719" s="104"/>
      <c r="L719" s="104"/>
      <c r="M719" s="61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104"/>
      <c r="F720" s="104"/>
      <c r="G720" s="3"/>
      <c r="H720" s="3"/>
      <c r="I720" s="104"/>
      <c r="J720" s="3"/>
      <c r="K720" s="104"/>
      <c r="L720" s="104"/>
      <c r="M720" s="61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104"/>
      <c r="F721" s="104"/>
      <c r="G721" s="3"/>
      <c r="H721" s="3"/>
      <c r="I721" s="104"/>
      <c r="J721" s="3"/>
      <c r="K721" s="104"/>
      <c r="L721" s="104"/>
      <c r="M721" s="61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104"/>
      <c r="F722" s="104"/>
      <c r="G722" s="3"/>
      <c r="H722" s="3"/>
      <c r="I722" s="104"/>
      <c r="J722" s="3"/>
      <c r="K722" s="104"/>
      <c r="L722" s="104"/>
      <c r="M722" s="61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104"/>
      <c r="F723" s="104"/>
      <c r="G723" s="3"/>
      <c r="H723" s="3"/>
      <c r="I723" s="104"/>
      <c r="J723" s="3"/>
      <c r="K723" s="104"/>
      <c r="L723" s="104"/>
      <c r="M723" s="61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104"/>
      <c r="F724" s="104"/>
      <c r="G724" s="3"/>
      <c r="H724" s="3"/>
      <c r="I724" s="104"/>
      <c r="J724" s="3"/>
      <c r="K724" s="104"/>
      <c r="L724" s="104"/>
      <c r="M724" s="61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104"/>
      <c r="F725" s="104"/>
      <c r="G725" s="3"/>
      <c r="H725" s="3"/>
      <c r="I725" s="104"/>
      <c r="J725" s="3"/>
      <c r="K725" s="104"/>
      <c r="L725" s="104"/>
      <c r="M725" s="61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104"/>
      <c r="F726" s="104"/>
      <c r="G726" s="3"/>
      <c r="H726" s="3"/>
      <c r="I726" s="104"/>
      <c r="J726" s="3"/>
      <c r="K726" s="104"/>
      <c r="L726" s="104"/>
      <c r="M726" s="61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104"/>
      <c r="F727" s="104"/>
      <c r="G727" s="3"/>
      <c r="H727" s="3"/>
      <c r="I727" s="104"/>
      <c r="J727" s="3"/>
      <c r="K727" s="104"/>
      <c r="L727" s="104"/>
      <c r="M727" s="61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104"/>
      <c r="F728" s="104"/>
      <c r="G728" s="3"/>
      <c r="H728" s="3"/>
      <c r="I728" s="104"/>
      <c r="J728" s="3"/>
      <c r="K728" s="104"/>
      <c r="L728" s="104"/>
      <c r="M728" s="61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104"/>
      <c r="F729" s="104"/>
      <c r="G729" s="3"/>
      <c r="H729" s="3"/>
      <c r="I729" s="104"/>
      <c r="J729" s="3"/>
      <c r="K729" s="104"/>
      <c r="L729" s="104"/>
      <c r="M729" s="61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104"/>
      <c r="F730" s="104"/>
      <c r="G730" s="3"/>
      <c r="H730" s="3"/>
      <c r="I730" s="104"/>
      <c r="J730" s="3"/>
      <c r="K730" s="104"/>
      <c r="L730" s="104"/>
      <c r="M730" s="61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104"/>
      <c r="F731" s="104"/>
      <c r="G731" s="3"/>
      <c r="H731" s="3"/>
      <c r="I731" s="104"/>
      <c r="J731" s="3"/>
      <c r="K731" s="104"/>
      <c r="L731" s="104"/>
      <c r="M731" s="61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104"/>
      <c r="F732" s="104"/>
      <c r="G732" s="3"/>
      <c r="H732" s="3"/>
      <c r="I732" s="104"/>
      <c r="J732" s="3"/>
      <c r="K732" s="104"/>
      <c r="L732" s="104"/>
      <c r="M732" s="61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104"/>
      <c r="F733" s="104"/>
      <c r="G733" s="3"/>
      <c r="H733" s="3"/>
      <c r="I733" s="104"/>
      <c r="J733" s="3"/>
      <c r="K733" s="104"/>
      <c r="L733" s="104"/>
      <c r="M733" s="61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104"/>
      <c r="F734" s="104"/>
      <c r="G734" s="3"/>
      <c r="H734" s="3"/>
      <c r="I734" s="104"/>
      <c r="J734" s="3"/>
      <c r="K734" s="104"/>
      <c r="L734" s="104"/>
      <c r="M734" s="61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104"/>
      <c r="F735" s="104"/>
      <c r="G735" s="3"/>
      <c r="H735" s="3"/>
      <c r="I735" s="104"/>
      <c r="J735" s="3"/>
      <c r="K735" s="104"/>
      <c r="L735" s="104"/>
      <c r="M735" s="61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104"/>
      <c r="F736" s="104"/>
      <c r="G736" s="3"/>
      <c r="H736" s="3"/>
      <c r="I736" s="104"/>
      <c r="J736" s="3"/>
      <c r="K736" s="104"/>
      <c r="L736" s="104"/>
      <c r="M736" s="61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104"/>
      <c r="F737" s="104"/>
      <c r="G737" s="3"/>
      <c r="H737" s="3"/>
      <c r="I737" s="104"/>
      <c r="J737" s="3"/>
      <c r="K737" s="104"/>
      <c r="L737" s="104"/>
      <c r="M737" s="61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104"/>
      <c r="F738" s="104"/>
      <c r="G738" s="3"/>
      <c r="H738" s="3"/>
      <c r="I738" s="104"/>
      <c r="J738" s="3"/>
      <c r="K738" s="104"/>
      <c r="L738" s="104"/>
      <c r="M738" s="61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104"/>
      <c r="F739" s="104"/>
      <c r="G739" s="3"/>
      <c r="H739" s="3"/>
      <c r="I739" s="104"/>
      <c r="J739" s="3"/>
      <c r="K739" s="104"/>
      <c r="L739" s="104"/>
      <c r="M739" s="61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104"/>
      <c r="F740" s="104"/>
      <c r="G740" s="3"/>
      <c r="H740" s="3"/>
      <c r="I740" s="104"/>
      <c r="J740" s="3"/>
      <c r="K740" s="104"/>
      <c r="L740" s="104"/>
      <c r="M740" s="61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104"/>
      <c r="F741" s="104"/>
      <c r="G741" s="3"/>
      <c r="H741" s="3"/>
      <c r="I741" s="104"/>
      <c r="J741" s="3"/>
      <c r="K741" s="104"/>
      <c r="L741" s="104"/>
      <c r="M741" s="61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104"/>
      <c r="F742" s="104"/>
      <c r="G742" s="3"/>
      <c r="H742" s="3"/>
      <c r="I742" s="104"/>
      <c r="J742" s="3"/>
      <c r="K742" s="104"/>
      <c r="L742" s="104"/>
      <c r="M742" s="61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104"/>
      <c r="F743" s="104"/>
      <c r="G743" s="3"/>
      <c r="H743" s="3"/>
      <c r="I743" s="104"/>
      <c r="J743" s="3"/>
      <c r="K743" s="104"/>
      <c r="L743" s="104"/>
      <c r="M743" s="61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104"/>
      <c r="F744" s="104"/>
      <c r="G744" s="3"/>
      <c r="H744" s="3"/>
      <c r="I744" s="104"/>
      <c r="J744" s="3"/>
      <c r="K744" s="104"/>
      <c r="L744" s="104"/>
      <c r="M744" s="61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104"/>
      <c r="F745" s="104"/>
      <c r="G745" s="3"/>
      <c r="H745" s="3"/>
      <c r="I745" s="104"/>
      <c r="J745" s="3"/>
      <c r="K745" s="104"/>
      <c r="L745" s="104"/>
      <c r="M745" s="61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104"/>
      <c r="F746" s="104"/>
      <c r="G746" s="3"/>
      <c r="H746" s="3"/>
      <c r="I746" s="104"/>
      <c r="J746" s="3"/>
      <c r="K746" s="104"/>
      <c r="L746" s="104"/>
      <c r="M746" s="61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104"/>
      <c r="F747" s="104"/>
      <c r="G747" s="3"/>
      <c r="H747" s="3"/>
      <c r="I747" s="104"/>
      <c r="J747" s="3"/>
      <c r="K747" s="104"/>
      <c r="L747" s="104"/>
      <c r="M747" s="61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104"/>
      <c r="F748" s="104"/>
      <c r="G748" s="3"/>
      <c r="H748" s="3"/>
      <c r="I748" s="104"/>
      <c r="J748" s="3"/>
      <c r="K748" s="104"/>
      <c r="L748" s="104"/>
      <c r="M748" s="61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104"/>
      <c r="F749" s="104"/>
      <c r="G749" s="3"/>
      <c r="H749" s="3"/>
      <c r="I749" s="104"/>
      <c r="J749" s="3"/>
      <c r="K749" s="104"/>
      <c r="L749" s="104"/>
      <c r="M749" s="61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104"/>
      <c r="F750" s="104"/>
      <c r="G750" s="3"/>
      <c r="H750" s="3"/>
      <c r="I750" s="104"/>
      <c r="J750" s="3"/>
      <c r="K750" s="104"/>
      <c r="L750" s="104"/>
      <c r="M750" s="61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104"/>
      <c r="F751" s="104"/>
      <c r="G751" s="3"/>
      <c r="H751" s="3"/>
      <c r="I751" s="104"/>
      <c r="J751" s="3"/>
      <c r="K751" s="104"/>
      <c r="L751" s="104"/>
      <c r="M751" s="61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104"/>
      <c r="F752" s="104"/>
      <c r="G752" s="3"/>
      <c r="H752" s="3"/>
      <c r="I752" s="104"/>
      <c r="J752" s="3"/>
      <c r="K752" s="104"/>
      <c r="L752" s="104"/>
      <c r="M752" s="61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104"/>
      <c r="F753" s="104"/>
      <c r="G753" s="3"/>
      <c r="H753" s="3"/>
      <c r="I753" s="104"/>
      <c r="J753" s="3"/>
      <c r="K753" s="104"/>
      <c r="L753" s="104"/>
      <c r="M753" s="61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104"/>
      <c r="F754" s="104"/>
      <c r="G754" s="3"/>
      <c r="H754" s="3"/>
      <c r="I754" s="104"/>
      <c r="J754" s="3"/>
      <c r="K754" s="104"/>
      <c r="L754" s="104"/>
      <c r="M754" s="61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104"/>
      <c r="F755" s="104"/>
      <c r="G755" s="3"/>
      <c r="H755" s="3"/>
      <c r="I755" s="104"/>
      <c r="J755" s="3"/>
      <c r="K755" s="104"/>
      <c r="L755" s="104"/>
      <c r="M755" s="61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104"/>
      <c r="F756" s="104"/>
      <c r="G756" s="3"/>
      <c r="H756" s="3"/>
      <c r="I756" s="104"/>
      <c r="J756" s="3"/>
      <c r="K756" s="104"/>
      <c r="L756" s="104"/>
      <c r="M756" s="61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104"/>
      <c r="F757" s="104"/>
      <c r="G757" s="3"/>
      <c r="H757" s="3"/>
      <c r="I757" s="104"/>
      <c r="J757" s="3"/>
      <c r="K757" s="104"/>
      <c r="L757" s="104"/>
      <c r="M757" s="61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104"/>
      <c r="F758" s="104"/>
      <c r="G758" s="3"/>
      <c r="H758" s="3"/>
      <c r="I758" s="104"/>
      <c r="J758" s="3"/>
      <c r="K758" s="104"/>
      <c r="L758" s="104"/>
      <c r="M758" s="61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104"/>
      <c r="F759" s="104"/>
      <c r="G759" s="3"/>
      <c r="H759" s="3"/>
      <c r="I759" s="104"/>
      <c r="J759" s="3"/>
      <c r="K759" s="104"/>
      <c r="L759" s="104"/>
      <c r="M759" s="61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104"/>
      <c r="F760" s="104"/>
      <c r="G760" s="3"/>
      <c r="H760" s="3"/>
      <c r="I760" s="104"/>
      <c r="J760" s="3"/>
      <c r="K760" s="104"/>
      <c r="L760" s="104"/>
      <c r="M760" s="61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104"/>
      <c r="F761" s="104"/>
      <c r="G761" s="3"/>
      <c r="H761" s="3"/>
      <c r="I761" s="104"/>
      <c r="J761" s="3"/>
      <c r="K761" s="104"/>
      <c r="L761" s="104"/>
      <c r="M761" s="61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104"/>
      <c r="F762" s="104"/>
      <c r="G762" s="3"/>
      <c r="H762" s="3"/>
      <c r="I762" s="104"/>
      <c r="J762" s="3"/>
      <c r="K762" s="104"/>
      <c r="L762" s="104"/>
      <c r="M762" s="61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104"/>
      <c r="F763" s="104"/>
      <c r="G763" s="3"/>
      <c r="H763" s="3"/>
      <c r="I763" s="104"/>
      <c r="J763" s="3"/>
      <c r="K763" s="104"/>
      <c r="L763" s="104"/>
      <c r="M763" s="61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104"/>
      <c r="F764" s="104"/>
      <c r="G764" s="3"/>
      <c r="H764" s="3"/>
      <c r="I764" s="104"/>
      <c r="J764" s="3"/>
      <c r="K764" s="104"/>
      <c r="L764" s="104"/>
      <c r="M764" s="61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104"/>
      <c r="F765" s="104"/>
      <c r="G765" s="3"/>
      <c r="H765" s="3"/>
      <c r="I765" s="104"/>
      <c r="J765" s="3"/>
      <c r="K765" s="104"/>
      <c r="L765" s="104"/>
      <c r="M765" s="61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104"/>
      <c r="F766" s="104"/>
      <c r="G766" s="3"/>
      <c r="H766" s="3"/>
      <c r="I766" s="104"/>
      <c r="J766" s="3"/>
      <c r="K766" s="104"/>
      <c r="L766" s="104"/>
      <c r="M766" s="61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104"/>
      <c r="F767" s="104"/>
      <c r="G767" s="3"/>
      <c r="H767" s="3"/>
      <c r="I767" s="104"/>
      <c r="J767" s="3"/>
      <c r="K767" s="104"/>
      <c r="L767" s="104"/>
      <c r="M767" s="61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104"/>
      <c r="F768" s="104"/>
      <c r="G768" s="3"/>
      <c r="H768" s="3"/>
      <c r="I768" s="104"/>
      <c r="J768" s="3"/>
      <c r="K768" s="104"/>
      <c r="L768" s="104"/>
      <c r="M768" s="61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104"/>
      <c r="F769" s="104"/>
      <c r="G769" s="3"/>
      <c r="H769" s="3"/>
      <c r="I769" s="104"/>
      <c r="J769" s="3"/>
      <c r="K769" s="104"/>
      <c r="L769" s="104"/>
      <c r="M769" s="61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104"/>
      <c r="F770" s="104"/>
      <c r="G770" s="3"/>
      <c r="H770" s="3"/>
      <c r="I770" s="104"/>
      <c r="J770" s="3"/>
      <c r="K770" s="104"/>
      <c r="L770" s="104"/>
      <c r="M770" s="61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104"/>
      <c r="F771" s="104"/>
      <c r="G771" s="3"/>
      <c r="H771" s="3"/>
      <c r="I771" s="104"/>
      <c r="J771" s="3"/>
      <c r="K771" s="104"/>
      <c r="L771" s="104"/>
      <c r="M771" s="61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104"/>
      <c r="F772" s="104"/>
      <c r="G772" s="3"/>
      <c r="H772" s="3"/>
      <c r="I772" s="104"/>
      <c r="J772" s="3"/>
      <c r="K772" s="104"/>
      <c r="L772" s="104"/>
      <c r="M772" s="61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104"/>
      <c r="F773" s="104"/>
      <c r="G773" s="3"/>
      <c r="H773" s="3"/>
      <c r="I773" s="104"/>
      <c r="J773" s="3"/>
      <c r="K773" s="104"/>
      <c r="L773" s="104"/>
      <c r="M773" s="61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104"/>
      <c r="F774" s="104"/>
      <c r="G774" s="3"/>
      <c r="H774" s="3"/>
      <c r="I774" s="104"/>
      <c r="J774" s="3"/>
      <c r="K774" s="104"/>
      <c r="L774" s="104"/>
      <c r="M774" s="61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104"/>
      <c r="F775" s="104"/>
      <c r="G775" s="3"/>
      <c r="H775" s="3"/>
      <c r="I775" s="104"/>
      <c r="J775" s="3"/>
      <c r="K775" s="104"/>
      <c r="L775" s="104"/>
      <c r="M775" s="61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104"/>
      <c r="F776" s="104"/>
      <c r="G776" s="3"/>
      <c r="H776" s="3"/>
      <c r="I776" s="104"/>
      <c r="J776" s="3"/>
      <c r="K776" s="104"/>
      <c r="L776" s="104"/>
      <c r="M776" s="61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104"/>
      <c r="F777" s="104"/>
      <c r="G777" s="3"/>
      <c r="H777" s="3"/>
      <c r="I777" s="104"/>
      <c r="J777" s="3"/>
      <c r="K777" s="104"/>
      <c r="L777" s="104"/>
      <c r="M777" s="61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104"/>
      <c r="F778" s="104"/>
      <c r="G778" s="3"/>
      <c r="H778" s="3"/>
      <c r="I778" s="104"/>
      <c r="J778" s="3"/>
      <c r="K778" s="104"/>
      <c r="L778" s="104"/>
      <c r="M778" s="61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104"/>
      <c r="F779" s="104"/>
      <c r="G779" s="3"/>
      <c r="H779" s="3"/>
      <c r="I779" s="104"/>
      <c r="J779" s="3"/>
      <c r="K779" s="104"/>
      <c r="L779" s="104"/>
      <c r="M779" s="61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104"/>
      <c r="F780" s="104"/>
      <c r="G780" s="3"/>
      <c r="H780" s="3"/>
      <c r="I780" s="104"/>
      <c r="J780" s="3"/>
      <c r="K780" s="104"/>
      <c r="L780" s="104"/>
      <c r="M780" s="61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104"/>
      <c r="F781" s="104"/>
      <c r="G781" s="3"/>
      <c r="H781" s="3"/>
      <c r="I781" s="104"/>
      <c r="J781" s="3"/>
      <c r="K781" s="104"/>
      <c r="L781" s="104"/>
      <c r="M781" s="61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104"/>
      <c r="F782" s="104"/>
      <c r="G782" s="3"/>
      <c r="H782" s="3"/>
      <c r="I782" s="104"/>
      <c r="J782" s="3"/>
      <c r="K782" s="104"/>
      <c r="L782" s="104"/>
      <c r="M782" s="61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104"/>
      <c r="F783" s="104"/>
      <c r="G783" s="3"/>
      <c r="H783" s="3"/>
      <c r="I783" s="104"/>
      <c r="J783" s="3"/>
      <c r="K783" s="104"/>
      <c r="L783" s="104"/>
      <c r="M783" s="61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104"/>
      <c r="F784" s="104"/>
      <c r="G784" s="3"/>
      <c r="H784" s="3"/>
      <c r="I784" s="104"/>
      <c r="J784" s="3"/>
      <c r="K784" s="104"/>
      <c r="L784" s="104"/>
      <c r="M784" s="61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104"/>
      <c r="F785" s="104"/>
      <c r="G785" s="3"/>
      <c r="H785" s="3"/>
      <c r="I785" s="104"/>
      <c r="J785" s="3"/>
      <c r="K785" s="104"/>
      <c r="L785" s="104"/>
      <c r="M785" s="61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104"/>
      <c r="F786" s="104"/>
      <c r="G786" s="3"/>
      <c r="H786" s="3"/>
      <c r="I786" s="104"/>
      <c r="J786" s="3"/>
      <c r="K786" s="104"/>
      <c r="L786" s="104"/>
      <c r="M786" s="61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104"/>
      <c r="F787" s="104"/>
      <c r="G787" s="3"/>
      <c r="H787" s="3"/>
      <c r="I787" s="104"/>
      <c r="J787" s="3"/>
      <c r="K787" s="104"/>
      <c r="L787" s="104"/>
      <c r="M787" s="61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104"/>
      <c r="F788" s="104"/>
      <c r="G788" s="3"/>
      <c r="H788" s="3"/>
      <c r="I788" s="104"/>
      <c r="J788" s="3"/>
      <c r="K788" s="104"/>
      <c r="L788" s="104"/>
      <c r="M788" s="61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104"/>
      <c r="F789" s="104"/>
      <c r="G789" s="3"/>
      <c r="H789" s="3"/>
      <c r="I789" s="104"/>
      <c r="J789" s="3"/>
      <c r="K789" s="104"/>
      <c r="L789" s="104"/>
      <c r="M789" s="61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104"/>
      <c r="F790" s="104"/>
      <c r="G790" s="3"/>
      <c r="H790" s="3"/>
      <c r="I790" s="104"/>
      <c r="J790" s="3"/>
      <c r="K790" s="104"/>
      <c r="L790" s="104"/>
      <c r="M790" s="61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104"/>
      <c r="F791" s="104"/>
      <c r="G791" s="3"/>
      <c r="H791" s="3"/>
      <c r="I791" s="104"/>
      <c r="J791" s="3"/>
      <c r="K791" s="104"/>
      <c r="L791" s="104"/>
      <c r="M791" s="61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104"/>
      <c r="F792" s="104"/>
      <c r="G792" s="3"/>
      <c r="H792" s="3"/>
      <c r="I792" s="104"/>
      <c r="J792" s="3"/>
      <c r="K792" s="104"/>
      <c r="L792" s="104"/>
      <c r="M792" s="61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104"/>
      <c r="F793" s="104"/>
      <c r="G793" s="3"/>
      <c r="H793" s="3"/>
      <c r="I793" s="104"/>
      <c r="J793" s="3"/>
      <c r="K793" s="104"/>
      <c r="L793" s="104"/>
      <c r="M793" s="61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104"/>
      <c r="F794" s="104"/>
      <c r="G794" s="3"/>
      <c r="H794" s="3"/>
      <c r="I794" s="104"/>
      <c r="J794" s="3"/>
      <c r="K794" s="104"/>
      <c r="L794" s="104"/>
      <c r="M794" s="61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104"/>
      <c r="F795" s="104"/>
      <c r="G795" s="3"/>
      <c r="H795" s="3"/>
      <c r="I795" s="104"/>
      <c r="J795" s="3"/>
      <c r="K795" s="104"/>
      <c r="L795" s="104"/>
      <c r="M795" s="61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104"/>
      <c r="F796" s="104"/>
      <c r="G796" s="3"/>
      <c r="H796" s="3"/>
      <c r="I796" s="104"/>
      <c r="J796" s="3"/>
      <c r="K796" s="104"/>
      <c r="L796" s="104"/>
      <c r="M796" s="61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104"/>
      <c r="F797" s="104"/>
      <c r="G797" s="3"/>
      <c r="H797" s="3"/>
      <c r="I797" s="104"/>
      <c r="J797" s="3"/>
      <c r="K797" s="104"/>
      <c r="L797" s="104"/>
      <c r="M797" s="61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104"/>
      <c r="F798" s="104"/>
      <c r="G798" s="3"/>
      <c r="H798" s="3"/>
      <c r="I798" s="104"/>
      <c r="J798" s="3"/>
      <c r="K798" s="104"/>
      <c r="L798" s="104"/>
      <c r="M798" s="61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104"/>
      <c r="F799" s="104"/>
      <c r="G799" s="3"/>
      <c r="H799" s="3"/>
      <c r="I799" s="104"/>
      <c r="J799" s="3"/>
      <c r="K799" s="104"/>
      <c r="L799" s="104"/>
      <c r="M799" s="61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104"/>
      <c r="F800" s="104"/>
      <c r="G800" s="3"/>
      <c r="H800" s="3"/>
      <c r="I800" s="104"/>
      <c r="J800" s="3"/>
      <c r="K800" s="104"/>
      <c r="L800" s="104"/>
      <c r="M800" s="61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104"/>
      <c r="F801" s="104"/>
      <c r="G801" s="3"/>
      <c r="H801" s="3"/>
      <c r="I801" s="104"/>
      <c r="J801" s="3"/>
      <c r="K801" s="104"/>
      <c r="L801" s="104"/>
      <c r="M801" s="61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104"/>
      <c r="F802" s="104"/>
      <c r="G802" s="3"/>
      <c r="H802" s="3"/>
      <c r="I802" s="104"/>
      <c r="J802" s="3"/>
      <c r="K802" s="104"/>
      <c r="L802" s="104"/>
      <c r="M802" s="61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104"/>
      <c r="F803" s="104"/>
      <c r="G803" s="3"/>
      <c r="H803" s="3"/>
      <c r="I803" s="104"/>
      <c r="J803" s="3"/>
      <c r="K803" s="104"/>
      <c r="L803" s="104"/>
      <c r="M803" s="61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104"/>
      <c r="F804" s="104"/>
      <c r="G804" s="3"/>
      <c r="H804" s="3"/>
      <c r="I804" s="104"/>
      <c r="J804" s="3"/>
      <c r="K804" s="104"/>
      <c r="L804" s="104"/>
      <c r="M804" s="61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104"/>
      <c r="F805" s="104"/>
      <c r="G805" s="3"/>
      <c r="H805" s="3"/>
      <c r="I805" s="104"/>
      <c r="J805" s="3"/>
      <c r="K805" s="104"/>
      <c r="L805" s="104"/>
      <c r="M805" s="61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104"/>
      <c r="F806" s="104"/>
      <c r="G806" s="3"/>
      <c r="H806" s="3"/>
      <c r="I806" s="104"/>
      <c r="J806" s="3"/>
      <c r="K806" s="104"/>
      <c r="L806" s="104"/>
      <c r="M806" s="61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104"/>
      <c r="F807" s="104"/>
      <c r="G807" s="3"/>
      <c r="H807" s="3"/>
      <c r="I807" s="104"/>
      <c r="J807" s="3"/>
      <c r="K807" s="104"/>
      <c r="L807" s="104"/>
      <c r="M807" s="61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104"/>
      <c r="F808" s="104"/>
      <c r="G808" s="3"/>
      <c r="H808" s="3"/>
      <c r="I808" s="104"/>
      <c r="J808" s="3"/>
      <c r="K808" s="104"/>
      <c r="L808" s="104"/>
      <c r="M808" s="61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104"/>
      <c r="F809" s="104"/>
      <c r="G809" s="3"/>
      <c r="H809" s="3"/>
      <c r="I809" s="104"/>
      <c r="J809" s="3"/>
      <c r="K809" s="104"/>
      <c r="L809" s="104"/>
      <c r="M809" s="61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104"/>
      <c r="F810" s="104"/>
      <c r="G810" s="3"/>
      <c r="H810" s="3"/>
      <c r="I810" s="104"/>
      <c r="J810" s="3"/>
      <c r="K810" s="104"/>
      <c r="L810" s="104"/>
      <c r="M810" s="61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104"/>
      <c r="F811" s="104"/>
      <c r="G811" s="3"/>
      <c r="H811" s="3"/>
      <c r="I811" s="104"/>
      <c r="J811" s="3"/>
      <c r="K811" s="104"/>
      <c r="L811" s="104"/>
      <c r="M811" s="61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104"/>
      <c r="F812" s="104"/>
      <c r="G812" s="3"/>
      <c r="H812" s="3"/>
      <c r="I812" s="104"/>
      <c r="J812" s="3"/>
      <c r="K812" s="104"/>
      <c r="L812" s="104"/>
      <c r="M812" s="61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104"/>
      <c r="F813" s="104"/>
      <c r="G813" s="3"/>
      <c r="H813" s="3"/>
      <c r="I813" s="104"/>
      <c r="J813" s="3"/>
      <c r="K813" s="104"/>
      <c r="L813" s="104"/>
      <c r="M813" s="61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104"/>
      <c r="F814" s="104"/>
      <c r="G814" s="3"/>
      <c r="H814" s="3"/>
      <c r="I814" s="104"/>
      <c r="J814" s="3"/>
      <c r="K814" s="104"/>
      <c r="L814" s="104"/>
      <c r="M814" s="61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104"/>
      <c r="F815" s="104"/>
      <c r="G815" s="3"/>
      <c r="H815" s="3"/>
      <c r="I815" s="104"/>
      <c r="J815" s="3"/>
      <c r="K815" s="104"/>
      <c r="L815" s="104"/>
      <c r="M815" s="61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104"/>
      <c r="F816" s="104"/>
      <c r="G816" s="3"/>
      <c r="H816" s="3"/>
      <c r="I816" s="104"/>
      <c r="J816" s="3"/>
      <c r="K816" s="104"/>
      <c r="L816" s="104"/>
      <c r="M816" s="61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104"/>
      <c r="F817" s="104"/>
      <c r="G817" s="3"/>
      <c r="H817" s="3"/>
      <c r="I817" s="104"/>
      <c r="J817" s="3"/>
      <c r="K817" s="104"/>
      <c r="L817" s="104"/>
      <c r="M817" s="61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104"/>
      <c r="F818" s="104"/>
      <c r="G818" s="3"/>
      <c r="H818" s="3"/>
      <c r="I818" s="104"/>
      <c r="J818" s="3"/>
      <c r="K818" s="104"/>
      <c r="L818" s="104"/>
      <c r="M818" s="61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104"/>
      <c r="F819" s="104"/>
      <c r="G819" s="3"/>
      <c r="H819" s="3"/>
      <c r="I819" s="104"/>
      <c r="J819" s="3"/>
      <c r="K819" s="104"/>
      <c r="L819" s="104"/>
      <c r="M819" s="61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104"/>
      <c r="F820" s="104"/>
      <c r="G820" s="3"/>
      <c r="H820" s="3"/>
      <c r="I820" s="104"/>
      <c r="J820" s="3"/>
      <c r="K820" s="104"/>
      <c r="L820" s="104"/>
      <c r="M820" s="61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104"/>
      <c r="F821" s="104"/>
      <c r="G821" s="3"/>
      <c r="H821" s="3"/>
      <c r="I821" s="104"/>
      <c r="J821" s="3"/>
      <c r="K821" s="104"/>
      <c r="L821" s="104"/>
      <c r="M821" s="61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104"/>
      <c r="F822" s="104"/>
      <c r="G822" s="3"/>
      <c r="H822" s="3"/>
      <c r="I822" s="104"/>
      <c r="J822" s="3"/>
      <c r="K822" s="104"/>
      <c r="L822" s="104"/>
      <c r="M822" s="61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104"/>
      <c r="F823" s="104"/>
      <c r="G823" s="3"/>
      <c r="H823" s="3"/>
      <c r="I823" s="104"/>
      <c r="J823" s="3"/>
      <c r="K823" s="104"/>
      <c r="L823" s="104"/>
      <c r="M823" s="61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104"/>
      <c r="F824" s="104"/>
      <c r="G824" s="3"/>
      <c r="H824" s="3"/>
      <c r="I824" s="104"/>
      <c r="J824" s="3"/>
      <c r="K824" s="104"/>
      <c r="L824" s="104"/>
      <c r="M824" s="61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104"/>
      <c r="F825" s="104"/>
      <c r="G825" s="3"/>
      <c r="H825" s="3"/>
      <c r="I825" s="104"/>
      <c r="J825" s="3"/>
      <c r="K825" s="104"/>
      <c r="L825" s="104"/>
      <c r="M825" s="61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104"/>
      <c r="F826" s="104"/>
      <c r="G826" s="3"/>
      <c r="H826" s="3"/>
      <c r="I826" s="104"/>
      <c r="J826" s="3"/>
      <c r="K826" s="104"/>
      <c r="L826" s="104"/>
      <c r="M826" s="61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104"/>
      <c r="F827" s="104"/>
      <c r="G827" s="3"/>
      <c r="H827" s="3"/>
      <c r="I827" s="104"/>
      <c r="J827" s="3"/>
      <c r="K827" s="104"/>
      <c r="L827" s="104"/>
      <c r="M827" s="61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104"/>
      <c r="F828" s="104"/>
      <c r="G828" s="3"/>
      <c r="H828" s="3"/>
      <c r="I828" s="104"/>
      <c r="J828" s="3"/>
      <c r="K828" s="104"/>
      <c r="L828" s="104"/>
      <c r="M828" s="61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104"/>
      <c r="F829" s="104"/>
      <c r="G829" s="3"/>
      <c r="H829" s="3"/>
      <c r="I829" s="104"/>
      <c r="J829" s="3"/>
      <c r="K829" s="104"/>
      <c r="L829" s="104"/>
      <c r="M829" s="61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104"/>
      <c r="F830" s="104"/>
      <c r="G830" s="3"/>
      <c r="H830" s="3"/>
      <c r="I830" s="104"/>
      <c r="J830" s="3"/>
      <c r="K830" s="104"/>
      <c r="L830" s="104"/>
      <c r="M830" s="61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104"/>
      <c r="F831" s="104"/>
      <c r="G831" s="3"/>
      <c r="H831" s="3"/>
      <c r="I831" s="104"/>
      <c r="J831" s="3"/>
      <c r="K831" s="104"/>
      <c r="L831" s="104"/>
      <c r="M831" s="61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104"/>
      <c r="F832" s="104"/>
      <c r="G832" s="3"/>
      <c r="H832" s="3"/>
      <c r="I832" s="104"/>
      <c r="J832" s="3"/>
      <c r="K832" s="104"/>
      <c r="L832" s="104"/>
      <c r="M832" s="61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104"/>
      <c r="F833" s="104"/>
      <c r="G833" s="3"/>
      <c r="H833" s="3"/>
      <c r="I833" s="104"/>
      <c r="J833" s="3"/>
      <c r="K833" s="104"/>
      <c r="L833" s="104"/>
      <c r="M833" s="61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104"/>
      <c r="F834" s="104"/>
      <c r="G834" s="3"/>
      <c r="H834" s="3"/>
      <c r="I834" s="104"/>
      <c r="J834" s="3"/>
      <c r="K834" s="104"/>
      <c r="L834" s="104"/>
      <c r="M834" s="61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104"/>
      <c r="F835" s="104"/>
      <c r="G835" s="3"/>
      <c r="H835" s="3"/>
      <c r="I835" s="104"/>
      <c r="J835" s="3"/>
      <c r="K835" s="104"/>
      <c r="L835" s="104"/>
      <c r="M835" s="61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104"/>
      <c r="F836" s="104"/>
      <c r="G836" s="3"/>
      <c r="H836" s="3"/>
      <c r="I836" s="104"/>
      <c r="J836" s="3"/>
      <c r="K836" s="104"/>
      <c r="L836" s="104"/>
      <c r="M836" s="61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104"/>
      <c r="F837" s="104"/>
      <c r="G837" s="3"/>
      <c r="H837" s="3"/>
      <c r="I837" s="104"/>
      <c r="J837" s="3"/>
      <c r="K837" s="104"/>
      <c r="L837" s="104"/>
      <c r="M837" s="61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104"/>
      <c r="F838" s="104"/>
      <c r="G838" s="3"/>
      <c r="H838" s="3"/>
      <c r="I838" s="104"/>
      <c r="J838" s="3"/>
      <c r="K838" s="104"/>
      <c r="L838" s="104"/>
      <c r="M838" s="61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104"/>
      <c r="F839" s="104"/>
      <c r="G839" s="3"/>
      <c r="H839" s="3"/>
      <c r="I839" s="104"/>
      <c r="J839" s="3"/>
      <c r="K839" s="104"/>
      <c r="L839" s="104"/>
      <c r="M839" s="61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104"/>
      <c r="F840" s="104"/>
      <c r="G840" s="3"/>
      <c r="H840" s="3"/>
      <c r="I840" s="104"/>
      <c r="J840" s="3"/>
      <c r="K840" s="104"/>
      <c r="L840" s="104"/>
      <c r="M840" s="61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104"/>
      <c r="F841" s="104"/>
      <c r="G841" s="3"/>
      <c r="H841" s="3"/>
      <c r="I841" s="104"/>
      <c r="J841" s="3"/>
      <c r="K841" s="104"/>
      <c r="L841" s="104"/>
      <c r="M841" s="61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104"/>
      <c r="F842" s="104"/>
      <c r="G842" s="3"/>
      <c r="H842" s="3"/>
      <c r="I842" s="104"/>
      <c r="J842" s="3"/>
      <c r="K842" s="104"/>
      <c r="L842" s="104"/>
      <c r="M842" s="61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104"/>
      <c r="F843" s="104"/>
      <c r="G843" s="3"/>
      <c r="H843" s="3"/>
      <c r="I843" s="104"/>
      <c r="J843" s="3"/>
      <c r="K843" s="104"/>
      <c r="L843" s="104"/>
      <c r="M843" s="61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104"/>
      <c r="F844" s="104"/>
      <c r="G844" s="3"/>
      <c r="H844" s="3"/>
      <c r="I844" s="104"/>
      <c r="J844" s="3"/>
      <c r="K844" s="104"/>
      <c r="L844" s="104"/>
      <c r="M844" s="61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104"/>
      <c r="F845" s="104"/>
      <c r="G845" s="3"/>
      <c r="H845" s="3"/>
      <c r="I845" s="104"/>
      <c r="J845" s="3"/>
      <c r="K845" s="104"/>
      <c r="L845" s="104"/>
      <c r="M845" s="61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104"/>
      <c r="F846" s="104"/>
      <c r="G846" s="3"/>
      <c r="H846" s="3"/>
      <c r="I846" s="104"/>
      <c r="J846" s="3"/>
      <c r="K846" s="104"/>
      <c r="L846" s="104"/>
      <c r="M846" s="61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104"/>
      <c r="F847" s="104"/>
      <c r="G847" s="3"/>
      <c r="H847" s="3"/>
      <c r="I847" s="104"/>
      <c r="J847" s="3"/>
      <c r="K847" s="104"/>
      <c r="L847" s="104"/>
      <c r="M847" s="61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104"/>
      <c r="F848" s="104"/>
      <c r="G848" s="3"/>
      <c r="H848" s="3"/>
      <c r="I848" s="104"/>
      <c r="J848" s="3"/>
      <c r="K848" s="104"/>
      <c r="L848" s="104"/>
      <c r="M848" s="61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104"/>
      <c r="F849" s="104"/>
      <c r="G849" s="3"/>
      <c r="H849" s="3"/>
      <c r="I849" s="104"/>
      <c r="J849" s="3"/>
      <c r="K849" s="104"/>
      <c r="L849" s="104"/>
      <c r="M849" s="61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104"/>
      <c r="F850" s="104"/>
      <c r="G850" s="3"/>
      <c r="H850" s="3"/>
      <c r="I850" s="104"/>
      <c r="J850" s="3"/>
      <c r="K850" s="104"/>
      <c r="L850" s="104"/>
      <c r="M850" s="61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104"/>
      <c r="F851" s="104"/>
      <c r="G851" s="3"/>
      <c r="H851" s="3"/>
      <c r="I851" s="104"/>
      <c r="J851" s="3"/>
      <c r="K851" s="104"/>
      <c r="L851" s="104"/>
      <c r="M851" s="61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104"/>
      <c r="F852" s="104"/>
      <c r="G852" s="3"/>
      <c r="H852" s="3"/>
      <c r="I852" s="104"/>
      <c r="J852" s="3"/>
      <c r="K852" s="104"/>
      <c r="L852" s="104"/>
      <c r="M852" s="61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104"/>
      <c r="F853" s="104"/>
      <c r="G853" s="3"/>
      <c r="H853" s="3"/>
      <c r="I853" s="104"/>
      <c r="J853" s="3"/>
      <c r="K853" s="104"/>
      <c r="L853" s="104"/>
      <c r="M853" s="61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104"/>
      <c r="F854" s="104"/>
      <c r="G854" s="3"/>
      <c r="H854" s="3"/>
      <c r="I854" s="104"/>
      <c r="J854" s="3"/>
      <c r="K854" s="104"/>
      <c r="L854" s="104"/>
      <c r="M854" s="61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104"/>
      <c r="F855" s="104"/>
      <c r="G855" s="3"/>
      <c r="H855" s="3"/>
      <c r="I855" s="104"/>
      <c r="J855" s="3"/>
      <c r="K855" s="104"/>
      <c r="L855" s="104"/>
      <c r="M855" s="61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104"/>
      <c r="F856" s="104"/>
      <c r="G856" s="3"/>
      <c r="H856" s="3"/>
      <c r="I856" s="104"/>
      <c r="J856" s="3"/>
      <c r="K856" s="104"/>
      <c r="L856" s="104"/>
      <c r="M856" s="61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104"/>
      <c r="F857" s="104"/>
      <c r="G857" s="3"/>
      <c r="H857" s="3"/>
      <c r="I857" s="104"/>
      <c r="J857" s="3"/>
      <c r="K857" s="104"/>
      <c r="L857" s="104"/>
      <c r="M857" s="61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104"/>
      <c r="F858" s="104"/>
      <c r="G858" s="3"/>
      <c r="H858" s="3"/>
      <c r="I858" s="104"/>
      <c r="J858" s="3"/>
      <c r="K858" s="104"/>
      <c r="L858" s="104"/>
      <c r="M858" s="61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104"/>
      <c r="F859" s="104"/>
      <c r="G859" s="3"/>
      <c r="H859" s="3"/>
      <c r="I859" s="104"/>
      <c r="J859" s="3"/>
      <c r="K859" s="104"/>
      <c r="L859" s="104"/>
      <c r="M859" s="61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104"/>
      <c r="F860" s="104"/>
      <c r="G860" s="3"/>
      <c r="H860" s="3"/>
      <c r="I860" s="104"/>
      <c r="J860" s="3"/>
      <c r="K860" s="104"/>
      <c r="L860" s="104"/>
      <c r="M860" s="61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104"/>
      <c r="F861" s="104"/>
      <c r="G861" s="3"/>
      <c r="H861" s="3"/>
      <c r="I861" s="104"/>
      <c r="J861" s="3"/>
      <c r="K861" s="104"/>
      <c r="L861" s="104"/>
      <c r="M861" s="61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104"/>
      <c r="F862" s="104"/>
      <c r="G862" s="3"/>
      <c r="H862" s="3"/>
      <c r="I862" s="104"/>
      <c r="J862" s="3"/>
      <c r="K862" s="104"/>
      <c r="L862" s="104"/>
      <c r="M862" s="61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104"/>
      <c r="F863" s="104"/>
      <c r="G863" s="3"/>
      <c r="H863" s="3"/>
      <c r="I863" s="104"/>
      <c r="J863" s="3"/>
      <c r="K863" s="104"/>
      <c r="L863" s="104"/>
      <c r="M863" s="61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104"/>
      <c r="F864" s="104"/>
      <c r="G864" s="3"/>
      <c r="H864" s="3"/>
      <c r="I864" s="104"/>
      <c r="J864" s="3"/>
      <c r="K864" s="104"/>
      <c r="L864" s="104"/>
      <c r="M864" s="61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104"/>
      <c r="F865" s="104"/>
      <c r="G865" s="3"/>
      <c r="H865" s="3"/>
      <c r="I865" s="104"/>
      <c r="J865" s="3"/>
      <c r="K865" s="104"/>
      <c r="L865" s="104"/>
      <c r="M865" s="61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104"/>
      <c r="F866" s="104"/>
      <c r="G866" s="3"/>
      <c r="H866" s="3"/>
      <c r="I866" s="104"/>
      <c r="J866" s="3"/>
      <c r="K866" s="104"/>
      <c r="L866" s="104"/>
      <c r="M866" s="61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104"/>
      <c r="F867" s="104"/>
      <c r="G867" s="3"/>
      <c r="H867" s="3"/>
      <c r="I867" s="104"/>
      <c r="J867" s="3"/>
      <c r="K867" s="104"/>
      <c r="L867" s="104"/>
      <c r="M867" s="61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104"/>
      <c r="F868" s="104"/>
      <c r="G868" s="3"/>
      <c r="H868" s="3"/>
      <c r="I868" s="104"/>
      <c r="J868" s="3"/>
      <c r="K868" s="104"/>
      <c r="L868" s="104"/>
      <c r="M868" s="61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104"/>
      <c r="F869" s="104"/>
      <c r="G869" s="3"/>
      <c r="H869" s="3"/>
      <c r="I869" s="104"/>
      <c r="J869" s="3"/>
      <c r="K869" s="104"/>
      <c r="L869" s="104"/>
      <c r="M869" s="61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104"/>
      <c r="F870" s="104"/>
      <c r="G870" s="3"/>
      <c r="H870" s="3"/>
      <c r="I870" s="104"/>
      <c r="J870" s="3"/>
      <c r="K870" s="104"/>
      <c r="L870" s="104"/>
      <c r="M870" s="61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104"/>
      <c r="F871" s="104"/>
      <c r="G871" s="3"/>
      <c r="H871" s="3"/>
      <c r="I871" s="104"/>
      <c r="J871" s="3"/>
      <c r="K871" s="104"/>
      <c r="L871" s="104"/>
      <c r="M871" s="61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104"/>
      <c r="F872" s="104"/>
      <c r="G872" s="3"/>
      <c r="H872" s="3"/>
      <c r="I872" s="104"/>
      <c r="J872" s="3"/>
      <c r="K872" s="104"/>
      <c r="L872" s="104"/>
      <c r="M872" s="61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104"/>
      <c r="F873" s="104"/>
      <c r="G873" s="3"/>
      <c r="H873" s="3"/>
      <c r="I873" s="104"/>
      <c r="J873" s="3"/>
      <c r="K873" s="104"/>
      <c r="L873" s="104"/>
      <c r="M873" s="61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104"/>
      <c r="F874" s="104"/>
      <c r="G874" s="3"/>
      <c r="H874" s="3"/>
      <c r="I874" s="104"/>
      <c r="J874" s="3"/>
      <c r="K874" s="104"/>
      <c r="L874" s="104"/>
      <c r="M874" s="61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104"/>
      <c r="F875" s="104"/>
      <c r="G875" s="3"/>
      <c r="H875" s="3"/>
      <c r="I875" s="104"/>
      <c r="J875" s="3"/>
      <c r="K875" s="104"/>
      <c r="L875" s="104"/>
      <c r="M875" s="61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104"/>
      <c r="F876" s="104"/>
      <c r="G876" s="3"/>
      <c r="H876" s="3"/>
      <c r="I876" s="104"/>
      <c r="J876" s="3"/>
      <c r="K876" s="104"/>
      <c r="L876" s="104"/>
      <c r="M876" s="61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104"/>
      <c r="F877" s="104"/>
      <c r="G877" s="3"/>
      <c r="H877" s="3"/>
      <c r="I877" s="104"/>
      <c r="J877" s="3"/>
      <c r="K877" s="104"/>
      <c r="L877" s="104"/>
      <c r="M877" s="61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104"/>
      <c r="F878" s="104"/>
      <c r="G878" s="3"/>
      <c r="H878" s="3"/>
      <c r="I878" s="104"/>
      <c r="J878" s="3"/>
      <c r="K878" s="104"/>
      <c r="L878" s="104"/>
      <c r="M878" s="61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104"/>
      <c r="F879" s="104"/>
      <c r="G879" s="3"/>
      <c r="H879" s="3"/>
      <c r="I879" s="104"/>
      <c r="J879" s="3"/>
      <c r="K879" s="104"/>
      <c r="L879" s="104"/>
      <c r="M879" s="61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104"/>
      <c r="F880" s="104"/>
      <c r="G880" s="3"/>
      <c r="H880" s="3"/>
      <c r="I880" s="104"/>
      <c r="J880" s="3"/>
      <c r="K880" s="104"/>
      <c r="L880" s="104"/>
      <c r="M880" s="61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104"/>
      <c r="F881" s="104"/>
      <c r="G881" s="3"/>
      <c r="H881" s="3"/>
      <c r="I881" s="104"/>
      <c r="J881" s="3"/>
      <c r="K881" s="104"/>
      <c r="L881" s="104"/>
      <c r="M881" s="61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104"/>
      <c r="F882" s="104"/>
      <c r="G882" s="3"/>
      <c r="H882" s="3"/>
      <c r="I882" s="104"/>
      <c r="J882" s="3"/>
      <c r="K882" s="104"/>
      <c r="L882" s="104"/>
      <c r="M882" s="61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104"/>
      <c r="F883" s="104"/>
      <c r="G883" s="3"/>
      <c r="H883" s="3"/>
      <c r="I883" s="104"/>
      <c r="J883" s="3"/>
      <c r="K883" s="104"/>
      <c r="L883" s="104"/>
      <c r="M883" s="61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104"/>
      <c r="F884" s="104"/>
      <c r="G884" s="3"/>
      <c r="H884" s="3"/>
      <c r="I884" s="104"/>
      <c r="J884" s="3"/>
      <c r="K884" s="104"/>
      <c r="L884" s="104"/>
      <c r="M884" s="61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104"/>
      <c r="F885" s="104"/>
      <c r="G885" s="3"/>
      <c r="H885" s="3"/>
      <c r="I885" s="104"/>
      <c r="J885" s="3"/>
      <c r="K885" s="104"/>
      <c r="L885" s="104"/>
      <c r="M885" s="61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104"/>
      <c r="F886" s="104"/>
      <c r="G886" s="3"/>
      <c r="H886" s="3"/>
      <c r="I886" s="104"/>
      <c r="J886" s="3"/>
      <c r="K886" s="104"/>
      <c r="L886" s="104"/>
      <c r="M886" s="61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104"/>
      <c r="F887" s="104"/>
      <c r="G887" s="3"/>
      <c r="H887" s="3"/>
      <c r="I887" s="104"/>
      <c r="J887" s="3"/>
      <c r="K887" s="104"/>
      <c r="L887" s="104"/>
      <c r="M887" s="61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104"/>
      <c r="F888" s="104"/>
      <c r="G888" s="3"/>
      <c r="H888" s="3"/>
      <c r="I888" s="104"/>
      <c r="J888" s="3"/>
      <c r="K888" s="104"/>
      <c r="L888" s="104"/>
      <c r="M888" s="61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104"/>
      <c r="F889" s="104"/>
      <c r="G889" s="3"/>
      <c r="H889" s="3"/>
      <c r="I889" s="104"/>
      <c r="J889" s="3"/>
      <c r="K889" s="104"/>
      <c r="L889" s="104"/>
      <c r="M889" s="61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104"/>
      <c r="F890" s="104"/>
      <c r="G890" s="3"/>
      <c r="H890" s="3"/>
      <c r="I890" s="104"/>
      <c r="J890" s="3"/>
      <c r="K890" s="104"/>
      <c r="L890" s="104"/>
      <c r="M890" s="61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104"/>
      <c r="F891" s="104"/>
      <c r="G891" s="3"/>
      <c r="H891" s="3"/>
      <c r="I891" s="104"/>
      <c r="J891" s="3"/>
      <c r="K891" s="104"/>
      <c r="L891" s="104"/>
      <c r="M891" s="61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104"/>
      <c r="F892" s="104"/>
      <c r="G892" s="3"/>
      <c r="H892" s="3"/>
      <c r="I892" s="104"/>
      <c r="J892" s="3"/>
      <c r="K892" s="104"/>
      <c r="L892" s="104"/>
      <c r="M892" s="61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104"/>
      <c r="F893" s="104"/>
      <c r="G893" s="3"/>
      <c r="H893" s="3"/>
      <c r="I893" s="104"/>
      <c r="J893" s="3"/>
      <c r="K893" s="104"/>
      <c r="L893" s="104"/>
      <c r="M893" s="61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104"/>
      <c r="F894" s="104"/>
      <c r="G894" s="3"/>
      <c r="H894" s="3"/>
      <c r="I894" s="104"/>
      <c r="J894" s="3"/>
      <c r="K894" s="104"/>
      <c r="L894" s="104"/>
      <c r="M894" s="61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104"/>
      <c r="F895" s="104"/>
      <c r="G895" s="3"/>
      <c r="H895" s="3"/>
      <c r="I895" s="104"/>
      <c r="J895" s="3"/>
      <c r="K895" s="104"/>
      <c r="L895" s="104"/>
      <c r="M895" s="61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104"/>
      <c r="F896" s="104"/>
      <c r="G896" s="3"/>
      <c r="H896" s="3"/>
      <c r="I896" s="104"/>
      <c r="J896" s="3"/>
      <c r="K896" s="104"/>
      <c r="L896" s="104"/>
      <c r="M896" s="61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104"/>
      <c r="F897" s="104"/>
      <c r="G897" s="3"/>
      <c r="H897" s="3"/>
      <c r="I897" s="104"/>
      <c r="J897" s="3"/>
      <c r="K897" s="104"/>
      <c r="L897" s="104"/>
      <c r="M897" s="61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104"/>
      <c r="F898" s="104"/>
      <c r="G898" s="3"/>
      <c r="H898" s="3"/>
      <c r="I898" s="104"/>
      <c r="J898" s="3"/>
      <c r="K898" s="104"/>
      <c r="L898" s="104"/>
      <c r="M898" s="61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104"/>
      <c r="F899" s="104"/>
      <c r="G899" s="3"/>
      <c r="H899" s="3"/>
      <c r="I899" s="104"/>
      <c r="J899" s="3"/>
      <c r="K899" s="104"/>
      <c r="L899" s="104"/>
      <c r="M899" s="61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104"/>
      <c r="F900" s="104"/>
      <c r="G900" s="3"/>
      <c r="H900" s="3"/>
      <c r="I900" s="104"/>
      <c r="J900" s="3"/>
      <c r="K900" s="104"/>
      <c r="L900" s="104"/>
      <c r="M900" s="61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104"/>
      <c r="F901" s="104"/>
      <c r="G901" s="3"/>
      <c r="H901" s="3"/>
      <c r="I901" s="104"/>
      <c r="J901" s="3"/>
      <c r="K901" s="104"/>
      <c r="L901" s="104"/>
      <c r="M901" s="61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104"/>
      <c r="F902" s="104"/>
      <c r="G902" s="3"/>
      <c r="H902" s="3"/>
      <c r="I902" s="104"/>
      <c r="J902" s="3"/>
      <c r="K902" s="104"/>
      <c r="L902" s="104"/>
      <c r="M902" s="61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104"/>
      <c r="F903" s="104"/>
      <c r="G903" s="3"/>
      <c r="H903" s="3"/>
      <c r="I903" s="104"/>
      <c r="J903" s="3"/>
      <c r="K903" s="104"/>
      <c r="L903" s="104"/>
      <c r="M903" s="61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104"/>
      <c r="F904" s="104"/>
      <c r="G904" s="3"/>
      <c r="H904" s="3"/>
      <c r="I904" s="104"/>
      <c r="J904" s="3"/>
      <c r="K904" s="104"/>
      <c r="L904" s="104"/>
      <c r="M904" s="61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104"/>
      <c r="F905" s="104"/>
      <c r="G905" s="3"/>
      <c r="H905" s="3"/>
      <c r="I905" s="104"/>
      <c r="J905" s="3"/>
      <c r="K905" s="104"/>
      <c r="L905" s="104"/>
      <c r="M905" s="61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104"/>
      <c r="F906" s="104"/>
      <c r="G906" s="3"/>
      <c r="H906" s="3"/>
      <c r="I906" s="104"/>
      <c r="J906" s="3"/>
      <c r="K906" s="104"/>
      <c r="L906" s="104"/>
      <c r="M906" s="61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104"/>
      <c r="F907" s="104"/>
      <c r="G907" s="3"/>
      <c r="H907" s="3"/>
      <c r="I907" s="104"/>
      <c r="J907" s="3"/>
      <c r="K907" s="104"/>
      <c r="L907" s="104"/>
      <c r="M907" s="61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104"/>
      <c r="F908" s="104"/>
      <c r="G908" s="3"/>
      <c r="H908" s="3"/>
      <c r="I908" s="104"/>
      <c r="J908" s="3"/>
      <c r="K908" s="104"/>
      <c r="L908" s="104"/>
      <c r="M908" s="61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104"/>
      <c r="F909" s="104"/>
      <c r="G909" s="3"/>
      <c r="H909" s="3"/>
      <c r="I909" s="104"/>
      <c r="J909" s="3"/>
      <c r="K909" s="104"/>
      <c r="L909" s="104"/>
      <c r="M909" s="61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104"/>
      <c r="F910" s="104"/>
      <c r="G910" s="3"/>
      <c r="H910" s="3"/>
      <c r="I910" s="104"/>
      <c r="J910" s="3"/>
      <c r="K910" s="104"/>
      <c r="L910" s="104"/>
      <c r="M910" s="61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104"/>
      <c r="F911" s="104"/>
      <c r="G911" s="3"/>
      <c r="H911" s="3"/>
      <c r="I911" s="104"/>
      <c r="J911" s="3"/>
      <c r="K911" s="104"/>
      <c r="L911" s="104"/>
      <c r="M911" s="61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104"/>
      <c r="F912" s="104"/>
      <c r="G912" s="3"/>
      <c r="H912" s="3"/>
      <c r="I912" s="104"/>
      <c r="J912" s="3"/>
      <c r="K912" s="104"/>
      <c r="L912" s="104"/>
      <c r="M912" s="61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104"/>
      <c r="F913" s="104"/>
      <c r="G913" s="3"/>
      <c r="H913" s="3"/>
      <c r="I913" s="104"/>
      <c r="J913" s="3"/>
      <c r="K913" s="104"/>
      <c r="L913" s="104"/>
      <c r="M913" s="61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104"/>
      <c r="F914" s="104"/>
      <c r="G914" s="3"/>
      <c r="H914" s="3"/>
      <c r="I914" s="104"/>
      <c r="J914" s="3"/>
      <c r="K914" s="104"/>
      <c r="L914" s="104"/>
      <c r="M914" s="61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104"/>
      <c r="F915" s="104"/>
      <c r="G915" s="3"/>
      <c r="H915" s="3"/>
      <c r="I915" s="104"/>
      <c r="J915" s="3"/>
      <c r="K915" s="104"/>
      <c r="L915" s="104"/>
      <c r="M915" s="61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104"/>
      <c r="F916" s="104"/>
      <c r="G916" s="3"/>
      <c r="H916" s="3"/>
      <c r="I916" s="104"/>
      <c r="J916" s="3"/>
      <c r="K916" s="104"/>
      <c r="L916" s="104"/>
      <c r="M916" s="61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104"/>
      <c r="F917" s="104"/>
      <c r="G917" s="3"/>
      <c r="H917" s="3"/>
      <c r="I917" s="104"/>
      <c r="J917" s="3"/>
      <c r="K917" s="104"/>
      <c r="L917" s="104"/>
      <c r="M917" s="61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104"/>
      <c r="F918" s="104"/>
      <c r="G918" s="3"/>
      <c r="H918" s="3"/>
      <c r="I918" s="104"/>
      <c r="J918" s="3"/>
      <c r="K918" s="104"/>
      <c r="L918" s="104"/>
      <c r="M918" s="61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104"/>
      <c r="F919" s="104"/>
      <c r="G919" s="3"/>
      <c r="H919" s="3"/>
      <c r="I919" s="104"/>
      <c r="J919" s="3"/>
      <c r="K919" s="104"/>
      <c r="L919" s="104"/>
      <c r="M919" s="61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104"/>
      <c r="F920" s="104"/>
      <c r="G920" s="3"/>
      <c r="H920" s="3"/>
      <c r="I920" s="104"/>
      <c r="J920" s="3"/>
      <c r="K920" s="104"/>
      <c r="L920" s="104"/>
      <c r="M920" s="61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104"/>
      <c r="F921" s="104"/>
      <c r="G921" s="3"/>
      <c r="H921" s="3"/>
      <c r="I921" s="104"/>
      <c r="J921" s="3"/>
      <c r="K921" s="104"/>
      <c r="L921" s="104"/>
      <c r="M921" s="61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104"/>
      <c r="F922" s="104"/>
      <c r="G922" s="3"/>
      <c r="H922" s="3"/>
      <c r="I922" s="104"/>
      <c r="J922" s="3"/>
      <c r="K922" s="104"/>
      <c r="L922" s="104"/>
      <c r="M922" s="61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104"/>
      <c r="F923" s="104"/>
      <c r="G923" s="3"/>
      <c r="H923" s="3"/>
      <c r="I923" s="104"/>
      <c r="J923" s="3"/>
      <c r="K923" s="104"/>
      <c r="L923" s="104"/>
      <c r="M923" s="61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104"/>
      <c r="F924" s="104"/>
      <c r="G924" s="3"/>
      <c r="H924" s="3"/>
      <c r="I924" s="104"/>
      <c r="J924" s="3"/>
      <c r="K924" s="104"/>
      <c r="L924" s="104"/>
      <c r="M924" s="61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104"/>
      <c r="F925" s="104"/>
      <c r="G925" s="3"/>
      <c r="H925" s="3"/>
      <c r="I925" s="104"/>
      <c r="J925" s="3"/>
      <c r="K925" s="104"/>
      <c r="L925" s="104"/>
      <c r="M925" s="61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104"/>
      <c r="F926" s="104"/>
      <c r="G926" s="3"/>
      <c r="H926" s="3"/>
      <c r="I926" s="104"/>
      <c r="J926" s="3"/>
      <c r="K926" s="104"/>
      <c r="L926" s="104"/>
      <c r="M926" s="61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104"/>
      <c r="F927" s="104"/>
      <c r="G927" s="3"/>
      <c r="H927" s="3"/>
      <c r="I927" s="104"/>
      <c r="J927" s="3"/>
      <c r="K927" s="104"/>
      <c r="L927" s="104"/>
      <c r="M927" s="61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104"/>
      <c r="F928" s="104"/>
      <c r="G928" s="3"/>
      <c r="H928" s="3"/>
      <c r="I928" s="104"/>
      <c r="J928" s="3"/>
      <c r="K928" s="104"/>
      <c r="L928" s="104"/>
      <c r="M928" s="61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104"/>
      <c r="F929" s="104"/>
      <c r="G929" s="3"/>
      <c r="H929" s="3"/>
      <c r="I929" s="104"/>
      <c r="J929" s="3"/>
      <c r="K929" s="104"/>
      <c r="L929" s="104"/>
      <c r="M929" s="61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104"/>
      <c r="F930" s="104"/>
      <c r="G930" s="3"/>
      <c r="H930" s="3"/>
      <c r="I930" s="104"/>
      <c r="J930" s="3"/>
      <c r="K930" s="104"/>
      <c r="L930" s="104"/>
      <c r="M930" s="61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104"/>
      <c r="F931" s="104"/>
      <c r="G931" s="3"/>
      <c r="H931" s="3"/>
      <c r="I931" s="104"/>
      <c r="J931" s="3"/>
      <c r="K931" s="104"/>
      <c r="L931" s="104"/>
      <c r="M931" s="61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104"/>
      <c r="F932" s="104"/>
      <c r="G932" s="3"/>
      <c r="H932" s="3"/>
      <c r="I932" s="104"/>
      <c r="J932" s="3"/>
      <c r="K932" s="104"/>
      <c r="L932" s="104"/>
      <c r="M932" s="61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104"/>
      <c r="F933" s="104"/>
      <c r="G933" s="3"/>
      <c r="H933" s="3"/>
      <c r="I933" s="104"/>
      <c r="J933" s="3"/>
      <c r="K933" s="104"/>
      <c r="L933" s="104"/>
      <c r="M933" s="61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104"/>
      <c r="F934" s="104"/>
      <c r="G934" s="3"/>
      <c r="H934" s="3"/>
      <c r="I934" s="104"/>
      <c r="J934" s="3"/>
      <c r="K934" s="104"/>
      <c r="L934" s="104"/>
      <c r="M934" s="61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104"/>
      <c r="F935" s="104"/>
      <c r="G935" s="3"/>
      <c r="H935" s="3"/>
      <c r="I935" s="104"/>
      <c r="J935" s="3"/>
      <c r="K935" s="104"/>
      <c r="L935" s="104"/>
      <c r="M935" s="61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104"/>
      <c r="F936" s="104"/>
      <c r="G936" s="3"/>
      <c r="H936" s="3"/>
      <c r="I936" s="104"/>
      <c r="J936" s="3"/>
      <c r="K936" s="104"/>
      <c r="L936" s="104"/>
      <c r="M936" s="61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104"/>
      <c r="F937" s="104"/>
      <c r="G937" s="3"/>
      <c r="H937" s="3"/>
      <c r="I937" s="104"/>
      <c r="J937" s="3"/>
      <c r="K937" s="104"/>
      <c r="L937" s="104"/>
      <c r="M937" s="61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104"/>
      <c r="F938" s="104"/>
      <c r="G938" s="3"/>
      <c r="H938" s="3"/>
      <c r="I938" s="104"/>
      <c r="J938" s="3"/>
      <c r="K938" s="104"/>
      <c r="L938" s="104"/>
      <c r="M938" s="61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104"/>
      <c r="F939" s="104"/>
      <c r="G939" s="3"/>
      <c r="H939" s="3"/>
      <c r="I939" s="104"/>
      <c r="J939" s="3"/>
      <c r="K939" s="104"/>
      <c r="L939" s="104"/>
      <c r="M939" s="61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104"/>
      <c r="F940" s="104"/>
      <c r="G940" s="3"/>
      <c r="H940" s="3"/>
      <c r="I940" s="104"/>
      <c r="J940" s="3"/>
      <c r="K940" s="104"/>
      <c r="L940" s="104"/>
      <c r="M940" s="61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104"/>
      <c r="F941" s="104"/>
      <c r="G941" s="3"/>
      <c r="H941" s="3"/>
      <c r="I941" s="104"/>
      <c r="J941" s="3"/>
      <c r="K941" s="104"/>
      <c r="L941" s="104"/>
      <c r="M941" s="61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104"/>
      <c r="F942" s="104"/>
      <c r="G942" s="3"/>
      <c r="H942" s="3"/>
      <c r="I942" s="104"/>
      <c r="J942" s="3"/>
      <c r="K942" s="104"/>
      <c r="L942" s="104"/>
      <c r="M942" s="61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104"/>
      <c r="F943" s="104"/>
      <c r="G943" s="3"/>
      <c r="H943" s="3"/>
      <c r="I943" s="104"/>
      <c r="J943" s="3"/>
      <c r="K943" s="104"/>
      <c r="L943" s="104"/>
      <c r="M943" s="61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104"/>
      <c r="F944" s="104"/>
      <c r="G944" s="3"/>
      <c r="H944" s="3"/>
      <c r="I944" s="104"/>
      <c r="J944" s="3"/>
      <c r="K944" s="104"/>
      <c r="L944" s="104"/>
      <c r="M944" s="61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104"/>
      <c r="F945" s="104"/>
      <c r="G945" s="3"/>
      <c r="H945" s="3"/>
      <c r="I945" s="104"/>
      <c r="J945" s="3"/>
      <c r="K945" s="104"/>
      <c r="L945" s="104"/>
      <c r="M945" s="61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104"/>
      <c r="F946" s="104"/>
      <c r="G946" s="3"/>
      <c r="H946" s="3"/>
      <c r="I946" s="104"/>
      <c r="J946" s="3"/>
      <c r="K946" s="104"/>
      <c r="L946" s="104"/>
      <c r="M946" s="61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104"/>
      <c r="F947" s="104"/>
      <c r="G947" s="3"/>
      <c r="H947" s="3"/>
      <c r="I947" s="104"/>
      <c r="J947" s="3"/>
      <c r="K947" s="104"/>
      <c r="L947" s="104"/>
      <c r="M947" s="61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104"/>
      <c r="F948" s="104"/>
      <c r="G948" s="3"/>
      <c r="H948" s="3"/>
      <c r="I948" s="104"/>
      <c r="J948" s="3"/>
      <c r="K948" s="104"/>
      <c r="L948" s="104"/>
      <c r="M948" s="61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104"/>
      <c r="F949" s="104"/>
      <c r="G949" s="3"/>
      <c r="H949" s="3"/>
      <c r="I949" s="104"/>
      <c r="J949" s="3"/>
      <c r="K949" s="104"/>
      <c r="L949" s="104"/>
      <c r="M949" s="61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104"/>
      <c r="F950" s="104"/>
      <c r="G950" s="3"/>
      <c r="H950" s="3"/>
      <c r="I950" s="104"/>
      <c r="J950" s="3"/>
      <c r="K950" s="104"/>
      <c r="L950" s="104"/>
      <c r="M950" s="61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104"/>
      <c r="F951" s="104"/>
      <c r="G951" s="3"/>
      <c r="H951" s="3"/>
      <c r="I951" s="104"/>
      <c r="J951" s="3"/>
      <c r="K951" s="104"/>
      <c r="L951" s="104"/>
      <c r="M951" s="61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104"/>
      <c r="F952" s="104"/>
      <c r="G952" s="3"/>
      <c r="H952" s="3"/>
      <c r="I952" s="104"/>
      <c r="J952" s="3"/>
      <c r="K952" s="104"/>
      <c r="L952" s="104"/>
      <c r="M952" s="61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104"/>
      <c r="F953" s="104"/>
      <c r="G953" s="3"/>
      <c r="H953" s="3"/>
      <c r="I953" s="104"/>
      <c r="J953" s="3"/>
      <c r="K953" s="104"/>
      <c r="L953" s="104"/>
      <c r="M953" s="61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104"/>
      <c r="F954" s="104"/>
      <c r="G954" s="3"/>
      <c r="H954" s="3"/>
      <c r="I954" s="104"/>
      <c r="J954" s="3"/>
      <c r="K954" s="104"/>
      <c r="L954" s="104"/>
      <c r="M954" s="61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104"/>
      <c r="F955" s="104"/>
      <c r="G955" s="3"/>
      <c r="H955" s="3"/>
      <c r="I955" s="104"/>
      <c r="J955" s="3"/>
      <c r="K955" s="104"/>
      <c r="L955" s="104"/>
      <c r="M955" s="61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104"/>
      <c r="F956" s="104"/>
      <c r="G956" s="3"/>
      <c r="H956" s="3"/>
      <c r="I956" s="104"/>
      <c r="J956" s="3"/>
      <c r="K956" s="104"/>
      <c r="L956" s="104"/>
      <c r="M956" s="61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104"/>
      <c r="F957" s="104"/>
      <c r="G957" s="3"/>
      <c r="H957" s="3"/>
      <c r="I957" s="104"/>
      <c r="J957" s="3"/>
      <c r="K957" s="104"/>
      <c r="L957" s="104"/>
      <c r="M957" s="61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104"/>
      <c r="F958" s="104"/>
      <c r="G958" s="3"/>
      <c r="H958" s="3"/>
      <c r="I958" s="104"/>
      <c r="J958" s="3"/>
      <c r="K958" s="104"/>
      <c r="L958" s="104"/>
      <c r="M958" s="61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104"/>
      <c r="F959" s="104"/>
      <c r="G959" s="3"/>
      <c r="H959" s="3"/>
      <c r="I959" s="104"/>
      <c r="J959" s="3"/>
      <c r="K959" s="104"/>
      <c r="L959" s="104"/>
      <c r="M959" s="61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104"/>
      <c r="F960" s="104"/>
      <c r="G960" s="3"/>
      <c r="H960" s="3"/>
      <c r="I960" s="104"/>
      <c r="J960" s="3"/>
      <c r="K960" s="104"/>
      <c r="L960" s="104"/>
      <c r="M960" s="61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104"/>
      <c r="F961" s="104"/>
      <c r="G961" s="3"/>
      <c r="H961" s="3"/>
      <c r="I961" s="104"/>
      <c r="J961" s="3"/>
      <c r="K961" s="104"/>
      <c r="L961" s="104"/>
      <c r="M961" s="61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104"/>
      <c r="F962" s="104"/>
      <c r="G962" s="3"/>
      <c r="H962" s="3"/>
      <c r="I962" s="104"/>
      <c r="J962" s="3"/>
      <c r="K962" s="104"/>
      <c r="L962" s="104"/>
      <c r="M962" s="61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104"/>
      <c r="F963" s="104"/>
      <c r="G963" s="3"/>
      <c r="H963" s="3"/>
      <c r="I963" s="104"/>
      <c r="J963" s="3"/>
      <c r="K963" s="104"/>
      <c r="L963" s="104"/>
      <c r="M963" s="61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104"/>
      <c r="F964" s="104"/>
      <c r="G964" s="3"/>
      <c r="H964" s="3"/>
      <c r="I964" s="104"/>
      <c r="J964" s="3"/>
      <c r="K964" s="104"/>
      <c r="L964" s="104"/>
      <c r="M964" s="61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104"/>
      <c r="F965" s="104"/>
      <c r="G965" s="3"/>
      <c r="H965" s="3"/>
      <c r="I965" s="104"/>
      <c r="J965" s="3"/>
      <c r="K965" s="104"/>
      <c r="L965" s="104"/>
      <c r="M965" s="61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104"/>
      <c r="F966" s="104"/>
      <c r="G966" s="3"/>
      <c r="H966" s="3"/>
      <c r="I966" s="104"/>
      <c r="J966" s="3"/>
      <c r="K966" s="104"/>
      <c r="L966" s="104"/>
      <c r="M966" s="61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104"/>
      <c r="F967" s="104"/>
      <c r="G967" s="3"/>
      <c r="H967" s="3"/>
      <c r="I967" s="104"/>
      <c r="J967" s="3"/>
      <c r="K967" s="104"/>
      <c r="L967" s="104"/>
      <c r="M967" s="61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104"/>
      <c r="F968" s="104"/>
      <c r="G968" s="3"/>
      <c r="H968" s="3"/>
      <c r="I968" s="104"/>
      <c r="J968" s="3"/>
      <c r="K968" s="104"/>
      <c r="L968" s="104"/>
      <c r="M968" s="61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104"/>
      <c r="F969" s="104"/>
      <c r="G969" s="3"/>
      <c r="H969" s="3"/>
      <c r="I969" s="104"/>
      <c r="J969" s="3"/>
      <c r="K969" s="104"/>
      <c r="L969" s="104"/>
      <c r="M969" s="61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104"/>
      <c r="F970" s="104"/>
      <c r="G970" s="3"/>
      <c r="H970" s="3"/>
      <c r="I970" s="104"/>
      <c r="J970" s="3"/>
      <c r="K970" s="104"/>
      <c r="L970" s="104"/>
      <c r="M970" s="61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104"/>
      <c r="F971" s="104"/>
      <c r="G971" s="3"/>
      <c r="H971" s="3"/>
      <c r="I971" s="104"/>
      <c r="J971" s="3"/>
      <c r="K971" s="104"/>
      <c r="L971" s="104"/>
      <c r="M971" s="61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104"/>
      <c r="F972" s="104"/>
      <c r="G972" s="3"/>
      <c r="H972" s="3"/>
      <c r="I972" s="104"/>
      <c r="J972" s="3"/>
      <c r="K972" s="104"/>
      <c r="L972" s="104"/>
      <c r="M972" s="61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104"/>
      <c r="F973" s="104"/>
      <c r="G973" s="3"/>
      <c r="H973" s="3"/>
      <c r="I973" s="104"/>
      <c r="J973" s="3"/>
      <c r="K973" s="104"/>
      <c r="L973" s="104"/>
      <c r="M973" s="61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104"/>
      <c r="F974" s="104"/>
      <c r="G974" s="3"/>
      <c r="H974" s="3"/>
      <c r="I974" s="104"/>
      <c r="J974" s="3"/>
      <c r="K974" s="104"/>
      <c r="L974" s="104"/>
      <c r="M974" s="61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104"/>
      <c r="F975" s="104"/>
      <c r="G975" s="3"/>
      <c r="H975" s="3"/>
      <c r="I975" s="104"/>
      <c r="J975" s="3"/>
      <c r="K975" s="104"/>
      <c r="L975" s="104"/>
      <c r="M975" s="61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104"/>
      <c r="F976" s="104"/>
      <c r="G976" s="3"/>
      <c r="H976" s="3"/>
      <c r="I976" s="104"/>
      <c r="J976" s="3"/>
      <c r="K976" s="104"/>
      <c r="L976" s="104"/>
      <c r="M976" s="61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104"/>
      <c r="F977" s="104"/>
      <c r="G977" s="3"/>
      <c r="H977" s="3"/>
      <c r="I977" s="104"/>
      <c r="J977" s="3"/>
      <c r="K977" s="104"/>
      <c r="L977" s="104"/>
      <c r="M977" s="61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104"/>
      <c r="F978" s="104"/>
      <c r="G978" s="3"/>
      <c r="H978" s="3"/>
      <c r="I978" s="104"/>
      <c r="J978" s="3"/>
      <c r="K978" s="104"/>
      <c r="L978" s="104"/>
      <c r="M978" s="61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104"/>
      <c r="F979" s="104"/>
      <c r="G979" s="3"/>
      <c r="H979" s="3"/>
      <c r="I979" s="104"/>
      <c r="J979" s="3"/>
      <c r="K979" s="104"/>
      <c r="L979" s="104"/>
      <c r="M979" s="61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104"/>
      <c r="F980" s="104"/>
      <c r="G980" s="3"/>
      <c r="H980" s="3"/>
      <c r="I980" s="104"/>
      <c r="J980" s="3"/>
      <c r="K980" s="104"/>
      <c r="L980" s="104"/>
      <c r="M980" s="61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104"/>
      <c r="F981" s="104"/>
      <c r="G981" s="3"/>
      <c r="H981" s="3"/>
      <c r="I981" s="104"/>
      <c r="J981" s="3"/>
      <c r="K981" s="104"/>
      <c r="L981" s="104"/>
      <c r="M981" s="61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104"/>
      <c r="F982" s="104"/>
      <c r="G982" s="3"/>
      <c r="H982" s="3"/>
      <c r="I982" s="104"/>
      <c r="J982" s="3"/>
      <c r="K982" s="104"/>
      <c r="L982" s="104"/>
      <c r="M982" s="61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104"/>
      <c r="F983" s="104"/>
      <c r="G983" s="3"/>
      <c r="H983" s="3"/>
      <c r="I983" s="104"/>
      <c r="J983" s="3"/>
      <c r="K983" s="104"/>
      <c r="L983" s="104"/>
      <c r="M983" s="61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104"/>
      <c r="F984" s="104"/>
      <c r="G984" s="3"/>
      <c r="H984" s="3"/>
      <c r="I984" s="104"/>
      <c r="J984" s="3"/>
      <c r="K984" s="104"/>
      <c r="L984" s="104"/>
      <c r="M984" s="61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104"/>
      <c r="F985" s="104"/>
      <c r="G985" s="3"/>
      <c r="H985" s="3"/>
      <c r="I985" s="104"/>
      <c r="J985" s="3"/>
      <c r="K985" s="104"/>
      <c r="L985" s="104"/>
      <c r="M985" s="61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104"/>
      <c r="F986" s="104"/>
      <c r="G986" s="3"/>
      <c r="H986" s="3"/>
      <c r="I986" s="104"/>
      <c r="J986" s="3"/>
      <c r="K986" s="104"/>
      <c r="L986" s="104"/>
      <c r="M986" s="61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</sheetData>
  <mergeCells count="361"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J45:J47"/>
    <mergeCell ref="K45:K47"/>
    <mergeCell ref="L45:L47"/>
    <mergeCell ref="M45:M47"/>
    <mergeCell ref="N45:N47"/>
    <mergeCell ref="O45:O47"/>
    <mergeCell ref="P45:P47"/>
    <mergeCell ref="Q45:Q47"/>
    <mergeCell ref="A41:T41"/>
    <mergeCell ref="A42:T42"/>
    <mergeCell ref="B44:D44"/>
    <mergeCell ref="E44:N44"/>
    <mergeCell ref="O44:R44"/>
    <mergeCell ref="S44:S47"/>
    <mergeCell ref="T44:T47"/>
    <mergeCell ref="R45:R47"/>
    <mergeCell ref="F45:F47"/>
    <mergeCell ref="G45:G47"/>
    <mergeCell ref="H45:H47"/>
    <mergeCell ref="I45:I47"/>
    <mergeCell ref="A79:T79"/>
    <mergeCell ref="A80:T80"/>
    <mergeCell ref="B82:D82"/>
    <mergeCell ref="E82:N82"/>
    <mergeCell ref="O82:R82"/>
    <mergeCell ref="Q83:Q85"/>
    <mergeCell ref="R83:R85"/>
    <mergeCell ref="J83:J85"/>
    <mergeCell ref="K83:K85"/>
    <mergeCell ref="L83:L85"/>
    <mergeCell ref="M83:M85"/>
    <mergeCell ref="N83:N85"/>
    <mergeCell ref="O83:O85"/>
    <mergeCell ref="P83:P85"/>
    <mergeCell ref="A4:A6"/>
    <mergeCell ref="B5:B7"/>
    <mergeCell ref="A44:A46"/>
    <mergeCell ref="A82:A84"/>
    <mergeCell ref="B83:B85"/>
    <mergeCell ref="A120:A122"/>
    <mergeCell ref="Q5:Q7"/>
    <mergeCell ref="R5:R7"/>
    <mergeCell ref="A1:T1"/>
    <mergeCell ref="A2:T2"/>
    <mergeCell ref="B4:D4"/>
    <mergeCell ref="E4:N4"/>
    <mergeCell ref="O4:R4"/>
    <mergeCell ref="S4:S7"/>
    <mergeCell ref="T4:T7"/>
    <mergeCell ref="B45:B47"/>
    <mergeCell ref="C45:C47"/>
    <mergeCell ref="D45:D47"/>
    <mergeCell ref="E45:E47"/>
    <mergeCell ref="S82:S85"/>
    <mergeCell ref="T82:T85"/>
    <mergeCell ref="C83:C85"/>
    <mergeCell ref="D83:D85"/>
    <mergeCell ref="E83:E85"/>
    <mergeCell ref="F83:F85"/>
    <mergeCell ref="G83:G85"/>
    <mergeCell ref="H83:H85"/>
    <mergeCell ref="I83:I85"/>
    <mergeCell ref="B121:B123"/>
    <mergeCell ref="C121:C123"/>
    <mergeCell ref="D121:D123"/>
    <mergeCell ref="E121:E123"/>
    <mergeCell ref="F121:F123"/>
    <mergeCell ref="G121:G123"/>
    <mergeCell ref="H121:H123"/>
    <mergeCell ref="I121:I123"/>
    <mergeCell ref="J121:J123"/>
    <mergeCell ref="K121:K123"/>
    <mergeCell ref="L121:L123"/>
    <mergeCell ref="M121:M123"/>
    <mergeCell ref="N121:N123"/>
    <mergeCell ref="O121:O123"/>
    <mergeCell ref="P121:P123"/>
    <mergeCell ref="Q121:Q123"/>
    <mergeCell ref="A117:T117"/>
    <mergeCell ref="A118:T118"/>
    <mergeCell ref="B120:D120"/>
    <mergeCell ref="E120:N120"/>
    <mergeCell ref="O120:R120"/>
    <mergeCell ref="S120:S123"/>
    <mergeCell ref="T120:T123"/>
    <mergeCell ref="S157:S160"/>
    <mergeCell ref="T157:T160"/>
    <mergeCell ref="B158:B160"/>
    <mergeCell ref="C158:C160"/>
    <mergeCell ref="D158:D160"/>
    <mergeCell ref="E158:E160"/>
    <mergeCell ref="F158:F160"/>
    <mergeCell ref="G158:G160"/>
    <mergeCell ref="H158:H160"/>
    <mergeCell ref="P158:P160"/>
    <mergeCell ref="Q158:Q160"/>
    <mergeCell ref="R158:R160"/>
    <mergeCell ref="I158:I160"/>
    <mergeCell ref="J158:J160"/>
    <mergeCell ref="K158:K160"/>
    <mergeCell ref="L158:L160"/>
    <mergeCell ref="M158:M160"/>
    <mergeCell ref="N158:N160"/>
    <mergeCell ref="O158:O160"/>
    <mergeCell ref="R121:R123"/>
    <mergeCell ref="A154:T154"/>
    <mergeCell ref="A155:T155"/>
    <mergeCell ref="A157:A159"/>
    <mergeCell ref="B157:D157"/>
    <mergeCell ref="E157:N157"/>
    <mergeCell ref="O157:R157"/>
    <mergeCell ref="C349:L349"/>
    <mergeCell ref="C350:L350"/>
    <mergeCell ref="C351:L351"/>
    <mergeCell ref="C352:L352"/>
    <mergeCell ref="C353:L353"/>
    <mergeCell ref="C354:L354"/>
    <mergeCell ref="C355:L355"/>
    <mergeCell ref="B366:D366"/>
    <mergeCell ref="E366:N366"/>
    <mergeCell ref="O366:R366"/>
    <mergeCell ref="S366:S369"/>
    <mergeCell ref="T366:T369"/>
    <mergeCell ref="O367:O369"/>
    <mergeCell ref="P367:P369"/>
    <mergeCell ref="Q367:Q369"/>
    <mergeCell ref="R367:R369"/>
    <mergeCell ref="I367:I369"/>
    <mergeCell ref="J367:J369"/>
    <mergeCell ref="K367:K369"/>
    <mergeCell ref="L367:L369"/>
    <mergeCell ref="M367:M369"/>
    <mergeCell ref="N367:N369"/>
    <mergeCell ref="B367:B369"/>
    <mergeCell ref="C367:C369"/>
    <mergeCell ref="D367:D369"/>
    <mergeCell ref="E367:E369"/>
    <mergeCell ref="F367:F369"/>
    <mergeCell ref="G367:G369"/>
    <mergeCell ref="H367:H369"/>
    <mergeCell ref="C356:L356"/>
    <mergeCell ref="C357:L357"/>
    <mergeCell ref="C358:L358"/>
    <mergeCell ref="C359:L359"/>
    <mergeCell ref="A363:T363"/>
    <mergeCell ref="A364:T364"/>
    <mergeCell ref="A366:A368"/>
    <mergeCell ref="C413:C415"/>
    <mergeCell ref="D413:D415"/>
    <mergeCell ref="E413:E415"/>
    <mergeCell ref="F413:F415"/>
    <mergeCell ref="G413:G415"/>
    <mergeCell ref="H413:H415"/>
    <mergeCell ref="I413:I415"/>
    <mergeCell ref="J413:J415"/>
    <mergeCell ref="K413:K415"/>
    <mergeCell ref="L413:L415"/>
    <mergeCell ref="M413:M415"/>
    <mergeCell ref="N413:N415"/>
    <mergeCell ref="O413:O415"/>
    <mergeCell ref="P413:P415"/>
    <mergeCell ref="Q413:Q415"/>
    <mergeCell ref="R413:R415"/>
    <mergeCell ref="L451:L453"/>
    <mergeCell ref="M451:M453"/>
    <mergeCell ref="N451:N453"/>
    <mergeCell ref="O451:O453"/>
    <mergeCell ref="P451:P453"/>
    <mergeCell ref="Q451:Q453"/>
    <mergeCell ref="A447:T447"/>
    <mergeCell ref="A448:T448"/>
    <mergeCell ref="B450:D450"/>
    <mergeCell ref="E450:N450"/>
    <mergeCell ref="O450:R450"/>
    <mergeCell ref="S450:S453"/>
    <mergeCell ref="T450:T453"/>
    <mergeCell ref="R451:R453"/>
    <mergeCell ref="H451:H453"/>
    <mergeCell ref="I451:I453"/>
    <mergeCell ref="J451:J453"/>
    <mergeCell ref="K451:K453"/>
    <mergeCell ref="A482:T482"/>
    <mergeCell ref="A483:T483"/>
    <mergeCell ref="B485:D485"/>
    <mergeCell ref="E485:N485"/>
    <mergeCell ref="O485:R485"/>
    <mergeCell ref="Q486:Q488"/>
    <mergeCell ref="R486:R488"/>
    <mergeCell ref="J486:J488"/>
    <mergeCell ref="K486:K488"/>
    <mergeCell ref="L486:L488"/>
    <mergeCell ref="M486:M488"/>
    <mergeCell ref="N486:N488"/>
    <mergeCell ref="O486:O488"/>
    <mergeCell ref="P486:P488"/>
    <mergeCell ref="A412:A414"/>
    <mergeCell ref="B413:B415"/>
    <mergeCell ref="A450:A452"/>
    <mergeCell ref="A485:A487"/>
    <mergeCell ref="B486:B488"/>
    <mergeCell ref="A409:T409"/>
    <mergeCell ref="A410:T410"/>
    <mergeCell ref="B412:D412"/>
    <mergeCell ref="E412:N412"/>
    <mergeCell ref="O412:R412"/>
    <mergeCell ref="S412:S415"/>
    <mergeCell ref="T412:T415"/>
    <mergeCell ref="B451:B453"/>
    <mergeCell ref="C451:C453"/>
    <mergeCell ref="D451:D453"/>
    <mergeCell ref="E451:E453"/>
    <mergeCell ref="F451:F453"/>
    <mergeCell ref="G451:G453"/>
    <mergeCell ref="S485:S488"/>
    <mergeCell ref="T485:T488"/>
    <mergeCell ref="C486:C488"/>
    <mergeCell ref="D486:D488"/>
    <mergeCell ref="E486:E488"/>
    <mergeCell ref="F486:F488"/>
    <mergeCell ref="G486:G488"/>
    <mergeCell ref="H486:H488"/>
    <mergeCell ref="I486:I488"/>
    <mergeCell ref="C194:C196"/>
    <mergeCell ref="D194:D196"/>
    <mergeCell ref="E194:E196"/>
    <mergeCell ref="F194:F196"/>
    <mergeCell ref="G194:G196"/>
    <mergeCell ref="H194:H196"/>
    <mergeCell ref="I194:I196"/>
    <mergeCell ref="J194:J196"/>
    <mergeCell ref="K194:K196"/>
    <mergeCell ref="L194:L196"/>
    <mergeCell ref="M194:M196"/>
    <mergeCell ref="N194:N196"/>
    <mergeCell ref="O194:O196"/>
    <mergeCell ref="P194:P196"/>
    <mergeCell ref="J230:J232"/>
    <mergeCell ref="K230:K232"/>
    <mergeCell ref="L230:L232"/>
    <mergeCell ref="M230:M232"/>
    <mergeCell ref="N230:N232"/>
    <mergeCell ref="O230:O232"/>
    <mergeCell ref="P230:P232"/>
    <mergeCell ref="Q230:Q232"/>
    <mergeCell ref="A226:T226"/>
    <mergeCell ref="A227:T227"/>
    <mergeCell ref="B229:D229"/>
    <mergeCell ref="E229:N229"/>
    <mergeCell ref="O229:R229"/>
    <mergeCell ref="S229:S232"/>
    <mergeCell ref="T229:T232"/>
    <mergeCell ref="R230:R232"/>
    <mergeCell ref="F230:F232"/>
    <mergeCell ref="G230:G232"/>
    <mergeCell ref="H230:H232"/>
    <mergeCell ref="I230:I232"/>
    <mergeCell ref="A260:T260"/>
    <mergeCell ref="A261:T261"/>
    <mergeCell ref="B263:D263"/>
    <mergeCell ref="E263:N263"/>
    <mergeCell ref="O263:R263"/>
    <mergeCell ref="Q264:Q266"/>
    <mergeCell ref="R264:R266"/>
    <mergeCell ref="J264:J266"/>
    <mergeCell ref="K264:K266"/>
    <mergeCell ref="L264:L266"/>
    <mergeCell ref="M264:M266"/>
    <mergeCell ref="N264:N266"/>
    <mergeCell ref="O264:O266"/>
    <mergeCell ref="P264:P266"/>
    <mergeCell ref="A193:A195"/>
    <mergeCell ref="B194:B196"/>
    <mergeCell ref="A229:A231"/>
    <mergeCell ref="A263:A265"/>
    <mergeCell ref="B264:B266"/>
    <mergeCell ref="A296:A298"/>
    <mergeCell ref="Q194:Q196"/>
    <mergeCell ref="R194:R196"/>
    <mergeCell ref="A190:T190"/>
    <mergeCell ref="A191:T191"/>
    <mergeCell ref="B193:D193"/>
    <mergeCell ref="E193:N193"/>
    <mergeCell ref="O193:R193"/>
    <mergeCell ref="S193:S196"/>
    <mergeCell ref="T193:T196"/>
    <mergeCell ref="B230:B232"/>
    <mergeCell ref="C230:C232"/>
    <mergeCell ref="D230:D232"/>
    <mergeCell ref="E230:E232"/>
    <mergeCell ref="S263:S266"/>
    <mergeCell ref="T263:T266"/>
    <mergeCell ref="C264:C266"/>
    <mergeCell ref="D264:D266"/>
    <mergeCell ref="E264:E266"/>
    <mergeCell ref="F264:F266"/>
    <mergeCell ref="G264:G266"/>
    <mergeCell ref="H264:H266"/>
    <mergeCell ref="I264:I266"/>
    <mergeCell ref="B297:B299"/>
    <mergeCell ref="C297:C299"/>
    <mergeCell ref="D297:D299"/>
    <mergeCell ref="E297:E299"/>
    <mergeCell ref="F297:F299"/>
    <mergeCell ref="G297:G299"/>
    <mergeCell ref="H297:H299"/>
    <mergeCell ref="I297:I299"/>
    <mergeCell ref="J297:J299"/>
    <mergeCell ref="K297:K299"/>
    <mergeCell ref="L297:L299"/>
    <mergeCell ref="M297:M299"/>
    <mergeCell ref="N297:N299"/>
    <mergeCell ref="O297:O299"/>
    <mergeCell ref="P297:P299"/>
    <mergeCell ref="Q297:Q299"/>
    <mergeCell ref="A293:T293"/>
    <mergeCell ref="A294:T294"/>
    <mergeCell ref="B296:D296"/>
    <mergeCell ref="E296:N296"/>
    <mergeCell ref="O296:R296"/>
    <mergeCell ref="S296:S299"/>
    <mergeCell ref="T296:T299"/>
    <mergeCell ref="S329:S332"/>
    <mergeCell ref="T329:T332"/>
    <mergeCell ref="R297:R299"/>
    <mergeCell ref="A326:T326"/>
    <mergeCell ref="A327:T327"/>
    <mergeCell ref="A329:A331"/>
    <mergeCell ref="B329:D329"/>
    <mergeCell ref="E329:N329"/>
    <mergeCell ref="O329:R329"/>
    <mergeCell ref="P330:P332"/>
    <mergeCell ref="Q330:Q332"/>
    <mergeCell ref="R330:R332"/>
    <mergeCell ref="I330:I332"/>
    <mergeCell ref="J330:J332"/>
    <mergeCell ref="K330:K332"/>
    <mergeCell ref="L330:L332"/>
    <mergeCell ref="M330:M332"/>
    <mergeCell ref="N330:N332"/>
    <mergeCell ref="O330:O332"/>
    <mergeCell ref="B330:B332"/>
    <mergeCell ref="C330:C332"/>
    <mergeCell ref="D330:D332"/>
    <mergeCell ref="E330:E332"/>
    <mergeCell ref="F330:F332"/>
    <mergeCell ref="G330:G332"/>
    <mergeCell ref="H330:H3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1" max="21" width="9.63"/>
  </cols>
  <sheetData>
    <row r="1">
      <c r="A1" s="1" t="s">
        <v>475</v>
      </c>
      <c r="U1" s="2"/>
      <c r="V1" s="3"/>
      <c r="W1" s="3"/>
      <c r="X1" s="3"/>
      <c r="Y1" s="3"/>
      <c r="Z1" s="3"/>
    </row>
    <row r="2">
      <c r="A2" s="1" t="s">
        <v>1</v>
      </c>
      <c r="U2" s="2"/>
      <c r="V2" s="3"/>
      <c r="W2" s="3"/>
      <c r="X2" s="3"/>
      <c r="Y2" s="3"/>
      <c r="Z2" s="3"/>
    </row>
    <row r="3">
      <c r="A3" s="2"/>
      <c r="B3" s="4"/>
      <c r="C3" s="2"/>
      <c r="D3" s="2"/>
      <c r="E3" s="78"/>
      <c r="F3" s="98"/>
      <c r="G3" s="2"/>
      <c r="H3" s="2"/>
      <c r="I3" s="78"/>
      <c r="J3" s="2"/>
      <c r="K3" s="98"/>
      <c r="L3" s="98"/>
      <c r="M3" s="98"/>
      <c r="N3" s="2"/>
      <c r="O3" s="2"/>
      <c r="P3" s="2"/>
      <c r="Q3" s="2"/>
      <c r="R3" s="2"/>
      <c r="S3" s="2"/>
      <c r="T3" s="2"/>
      <c r="U3" s="2"/>
      <c r="V3" s="3"/>
      <c r="W3" s="3"/>
      <c r="X3" s="3"/>
      <c r="Y3" s="3"/>
      <c r="Z3" s="3"/>
    </row>
    <row r="4">
      <c r="A4" s="8" t="s">
        <v>2</v>
      </c>
      <c r="B4" s="9" t="s">
        <v>3</v>
      </c>
      <c r="C4" s="10"/>
      <c r="D4" s="11"/>
      <c r="E4" s="12" t="s">
        <v>4</v>
      </c>
      <c r="F4" s="10"/>
      <c r="G4" s="10"/>
      <c r="H4" s="10"/>
      <c r="I4" s="10"/>
      <c r="J4" s="10"/>
      <c r="K4" s="10"/>
      <c r="L4" s="10"/>
      <c r="M4" s="10"/>
      <c r="N4" s="11"/>
      <c r="O4" s="13" t="s">
        <v>5</v>
      </c>
      <c r="P4" s="10"/>
      <c r="Q4" s="10"/>
      <c r="R4" s="11"/>
      <c r="S4" s="14" t="s">
        <v>6</v>
      </c>
      <c r="T4" s="14" t="s">
        <v>7</v>
      </c>
      <c r="U4" s="2"/>
      <c r="V4" s="3"/>
      <c r="W4" s="3"/>
      <c r="X4" s="3"/>
      <c r="Y4" s="3"/>
      <c r="Z4" s="3"/>
    </row>
    <row r="5">
      <c r="A5" s="15"/>
      <c r="B5" s="16" t="s">
        <v>8</v>
      </c>
      <c r="C5" s="17" t="s">
        <v>9</v>
      </c>
      <c r="D5" s="14" t="s">
        <v>10</v>
      </c>
      <c r="E5" s="17" t="s">
        <v>11</v>
      </c>
      <c r="F5" s="18" t="s">
        <v>12</v>
      </c>
      <c r="G5" s="17" t="s">
        <v>13</v>
      </c>
      <c r="H5" s="17" t="s">
        <v>14</v>
      </c>
      <c r="I5" s="17" t="s">
        <v>15</v>
      </c>
      <c r="J5" s="17" t="s">
        <v>16</v>
      </c>
      <c r="K5" s="18" t="s">
        <v>17</v>
      </c>
      <c r="L5" s="18" t="s">
        <v>18</v>
      </c>
      <c r="M5" s="18" t="s">
        <v>19</v>
      </c>
      <c r="N5" s="14" t="s">
        <v>20</v>
      </c>
      <c r="O5" s="17" t="s">
        <v>21</v>
      </c>
      <c r="P5" s="17" t="s">
        <v>22</v>
      </c>
      <c r="Q5" s="17" t="s">
        <v>23</v>
      </c>
      <c r="R5" s="14" t="s">
        <v>24</v>
      </c>
      <c r="S5" s="19"/>
      <c r="T5" s="19"/>
      <c r="U5" s="2"/>
      <c r="V5" s="3"/>
      <c r="W5" s="3"/>
      <c r="X5" s="3"/>
      <c r="Y5" s="3"/>
      <c r="Z5" s="3"/>
    </row>
    <row r="6">
      <c r="A6" s="20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2"/>
      <c r="V6" s="3"/>
      <c r="W6" s="3"/>
      <c r="X6" s="3"/>
      <c r="Y6" s="3"/>
      <c r="Z6" s="3"/>
    </row>
    <row r="7">
      <c r="A7" s="100">
        <v>12.0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"/>
      <c r="V7" s="3"/>
      <c r="W7" s="3"/>
      <c r="X7" s="3"/>
      <c r="Y7" s="3"/>
      <c r="Z7" s="3"/>
    </row>
    <row r="8">
      <c r="A8" s="101" t="s">
        <v>476</v>
      </c>
      <c r="B8" s="24">
        <f t="shared" ref="B8:B21" si="1">300-U8</f>
        <v>300</v>
      </c>
      <c r="C8" s="25">
        <v>30.0</v>
      </c>
      <c r="D8" s="26">
        <f t="shared" ref="D8:D21" si="2">B8</f>
        <v>300</v>
      </c>
      <c r="E8" s="27"/>
      <c r="F8" s="73">
        <v>1.0</v>
      </c>
      <c r="G8" s="29"/>
      <c r="H8" s="29"/>
      <c r="I8" s="27"/>
      <c r="J8" s="29"/>
      <c r="K8" s="30"/>
      <c r="L8" s="30"/>
      <c r="M8" s="30"/>
      <c r="N8" s="26">
        <f t="shared" ref="N8:N21" si="3">SUM(E8:M8)</f>
        <v>1</v>
      </c>
      <c r="O8" s="29"/>
      <c r="P8" s="29"/>
      <c r="Q8" s="66">
        <v>3.0</v>
      </c>
      <c r="R8" s="31">
        <f t="shared" ref="R8:R21" si="4">SUM(O8:Q8)</f>
        <v>3</v>
      </c>
      <c r="S8" s="32">
        <f t="shared" ref="S8:S21" si="5">D8-N8+R8</f>
        <v>302</v>
      </c>
      <c r="T8" s="33">
        <f t="shared" ref="T8:T21" si="6">RANK(S8,$S$8:$S$21,0)</f>
        <v>1</v>
      </c>
      <c r="U8" s="1">
        <v>0.0</v>
      </c>
      <c r="V8" s="3"/>
      <c r="W8" s="3"/>
      <c r="X8" s="3"/>
      <c r="Y8" s="3"/>
      <c r="Z8" s="3"/>
    </row>
    <row r="9">
      <c r="A9" s="102" t="s">
        <v>477</v>
      </c>
      <c r="B9" s="24">
        <f t="shared" si="1"/>
        <v>300</v>
      </c>
      <c r="C9" s="36">
        <v>30.0</v>
      </c>
      <c r="D9" s="37">
        <f t="shared" si="2"/>
        <v>300</v>
      </c>
      <c r="E9" s="39">
        <v>3.0</v>
      </c>
      <c r="F9" s="41">
        <v>1.0</v>
      </c>
      <c r="G9" s="40"/>
      <c r="H9" s="40"/>
      <c r="I9" s="39">
        <v>3.0</v>
      </c>
      <c r="J9" s="40"/>
      <c r="K9" s="44"/>
      <c r="L9" s="44"/>
      <c r="M9" s="44"/>
      <c r="N9" s="37">
        <f t="shared" si="3"/>
        <v>7</v>
      </c>
      <c r="O9" s="40"/>
      <c r="P9" s="40"/>
      <c r="Q9" s="40"/>
      <c r="R9" s="42">
        <f t="shared" si="4"/>
        <v>0</v>
      </c>
      <c r="S9" s="43">
        <f t="shared" si="5"/>
        <v>293</v>
      </c>
      <c r="T9" s="33">
        <f t="shared" si="6"/>
        <v>14</v>
      </c>
      <c r="U9" s="34">
        <v>0.0</v>
      </c>
      <c r="V9" s="3"/>
      <c r="W9" s="3"/>
      <c r="X9" s="3"/>
      <c r="Y9" s="3"/>
      <c r="Z9" s="3"/>
    </row>
    <row r="10">
      <c r="A10" s="102" t="s">
        <v>478</v>
      </c>
      <c r="B10" s="24">
        <f t="shared" si="1"/>
        <v>300</v>
      </c>
      <c r="C10" s="36">
        <v>30.0</v>
      </c>
      <c r="D10" s="37">
        <f t="shared" si="2"/>
        <v>300</v>
      </c>
      <c r="E10" s="39"/>
      <c r="F10" s="41">
        <v>0.5</v>
      </c>
      <c r="G10" s="40"/>
      <c r="H10" s="40"/>
      <c r="I10" s="39">
        <v>0.5</v>
      </c>
      <c r="J10" s="40"/>
      <c r="K10" s="44"/>
      <c r="L10" s="44"/>
      <c r="M10" s="44"/>
      <c r="N10" s="37">
        <f t="shared" si="3"/>
        <v>1</v>
      </c>
      <c r="O10" s="40"/>
      <c r="P10" s="40"/>
      <c r="Q10" s="40"/>
      <c r="R10" s="42">
        <f t="shared" si="4"/>
        <v>0</v>
      </c>
      <c r="S10" s="45">
        <f t="shared" si="5"/>
        <v>299</v>
      </c>
      <c r="T10" s="33">
        <f t="shared" si="6"/>
        <v>4</v>
      </c>
      <c r="U10" s="34">
        <v>0.0</v>
      </c>
      <c r="V10" s="3"/>
      <c r="W10" s="3"/>
      <c r="X10" s="3"/>
      <c r="Y10" s="3"/>
      <c r="Z10" s="3"/>
    </row>
    <row r="11">
      <c r="A11" s="102" t="s">
        <v>479</v>
      </c>
      <c r="B11" s="24">
        <f t="shared" si="1"/>
        <v>300</v>
      </c>
      <c r="C11" s="36">
        <v>30.0</v>
      </c>
      <c r="D11" s="37">
        <f t="shared" si="2"/>
        <v>300</v>
      </c>
      <c r="E11" s="39">
        <v>6.0</v>
      </c>
      <c r="F11" s="41">
        <v>0.5</v>
      </c>
      <c r="G11" s="40"/>
      <c r="H11" s="40"/>
      <c r="I11" s="39">
        <v>0.5</v>
      </c>
      <c r="J11" s="40"/>
      <c r="K11" s="44"/>
      <c r="L11" s="44"/>
      <c r="M11" s="44"/>
      <c r="N11" s="37">
        <f t="shared" si="3"/>
        <v>7</v>
      </c>
      <c r="O11" s="40"/>
      <c r="P11" s="40"/>
      <c r="Q11" s="46">
        <v>0.5</v>
      </c>
      <c r="R11" s="42">
        <f t="shared" si="4"/>
        <v>0.5</v>
      </c>
      <c r="S11" s="45">
        <f t="shared" si="5"/>
        <v>293.5</v>
      </c>
      <c r="T11" s="33">
        <f t="shared" si="6"/>
        <v>13</v>
      </c>
      <c r="U11" s="34">
        <v>0.0</v>
      </c>
      <c r="V11" s="3"/>
      <c r="W11" s="3"/>
      <c r="X11" s="3"/>
      <c r="Y11" s="3"/>
      <c r="Z11" s="3"/>
    </row>
    <row r="12">
      <c r="A12" s="102" t="s">
        <v>480</v>
      </c>
      <c r="B12" s="24">
        <f t="shared" si="1"/>
        <v>300</v>
      </c>
      <c r="C12" s="36">
        <v>30.0</v>
      </c>
      <c r="D12" s="37">
        <f t="shared" si="2"/>
        <v>300</v>
      </c>
      <c r="E12" s="38"/>
      <c r="F12" s="41">
        <v>0.5</v>
      </c>
      <c r="G12" s="40"/>
      <c r="H12" s="40"/>
      <c r="I12" s="38"/>
      <c r="J12" s="40"/>
      <c r="K12" s="44"/>
      <c r="L12" s="44"/>
      <c r="M12" s="44"/>
      <c r="N12" s="37">
        <f t="shared" si="3"/>
        <v>0.5</v>
      </c>
      <c r="O12" s="40"/>
      <c r="P12" s="40"/>
      <c r="Q12" s="46">
        <v>0.5</v>
      </c>
      <c r="R12" s="42">
        <f t="shared" si="4"/>
        <v>0.5</v>
      </c>
      <c r="S12" s="45">
        <f t="shared" si="5"/>
        <v>300</v>
      </c>
      <c r="T12" s="33">
        <f t="shared" si="6"/>
        <v>2</v>
      </c>
      <c r="U12" s="34">
        <v>0.0</v>
      </c>
      <c r="V12" s="3"/>
      <c r="W12" s="3"/>
      <c r="X12" s="3"/>
      <c r="Y12" s="3"/>
      <c r="Z12" s="3"/>
    </row>
    <row r="13">
      <c r="A13" s="102" t="s">
        <v>481</v>
      </c>
      <c r="B13" s="24">
        <f t="shared" si="1"/>
        <v>300</v>
      </c>
      <c r="C13" s="36">
        <v>30.0</v>
      </c>
      <c r="D13" s="37">
        <f t="shared" si="2"/>
        <v>300</v>
      </c>
      <c r="E13" s="39">
        <v>1.5</v>
      </c>
      <c r="F13" s="44"/>
      <c r="G13" s="40"/>
      <c r="H13" s="40"/>
      <c r="I13" s="38"/>
      <c r="J13" s="40"/>
      <c r="K13" s="44"/>
      <c r="L13" s="44"/>
      <c r="M13" s="44"/>
      <c r="N13" s="37">
        <f t="shared" si="3"/>
        <v>1.5</v>
      </c>
      <c r="O13" s="40"/>
      <c r="P13" s="40"/>
      <c r="Q13" s="40"/>
      <c r="R13" s="42">
        <f t="shared" si="4"/>
        <v>0</v>
      </c>
      <c r="S13" s="45">
        <f t="shared" si="5"/>
        <v>298.5</v>
      </c>
      <c r="T13" s="33">
        <f t="shared" si="6"/>
        <v>8</v>
      </c>
      <c r="U13" s="34">
        <v>0.0</v>
      </c>
      <c r="V13" s="3"/>
      <c r="W13" s="3"/>
      <c r="X13" s="3"/>
      <c r="Y13" s="3"/>
      <c r="Z13" s="3"/>
    </row>
    <row r="14">
      <c r="A14" s="102" t="s">
        <v>482</v>
      </c>
      <c r="B14" s="24">
        <f t="shared" si="1"/>
        <v>300</v>
      </c>
      <c r="C14" s="36">
        <v>30.0</v>
      </c>
      <c r="D14" s="37">
        <f t="shared" si="2"/>
        <v>300</v>
      </c>
      <c r="E14" s="38"/>
      <c r="F14" s="41">
        <v>0.5</v>
      </c>
      <c r="G14" s="40"/>
      <c r="H14" s="40"/>
      <c r="I14" s="39">
        <v>0.5</v>
      </c>
      <c r="J14" s="38"/>
      <c r="K14" s="44"/>
      <c r="L14" s="44"/>
      <c r="M14" s="44"/>
      <c r="N14" s="37">
        <f t="shared" si="3"/>
        <v>1</v>
      </c>
      <c r="O14" s="40"/>
      <c r="P14" s="40"/>
      <c r="Q14" s="46"/>
      <c r="R14" s="42">
        <f t="shared" si="4"/>
        <v>0</v>
      </c>
      <c r="S14" s="45">
        <f t="shared" si="5"/>
        <v>299</v>
      </c>
      <c r="T14" s="33">
        <f t="shared" si="6"/>
        <v>4</v>
      </c>
      <c r="U14" s="34">
        <v>0.0</v>
      </c>
      <c r="V14" s="3"/>
      <c r="W14" s="3"/>
      <c r="X14" s="3"/>
      <c r="Y14" s="3"/>
      <c r="Z14" s="3"/>
    </row>
    <row r="15">
      <c r="A15" s="102" t="s">
        <v>483</v>
      </c>
      <c r="B15" s="24">
        <f t="shared" si="1"/>
        <v>300</v>
      </c>
      <c r="C15" s="36">
        <v>30.0</v>
      </c>
      <c r="D15" s="37">
        <f t="shared" si="2"/>
        <v>300</v>
      </c>
      <c r="E15" s="39">
        <v>4.5</v>
      </c>
      <c r="F15" s="41">
        <v>0.5</v>
      </c>
      <c r="G15" s="40"/>
      <c r="H15" s="40"/>
      <c r="I15" s="38"/>
      <c r="J15" s="40"/>
      <c r="K15" s="44"/>
      <c r="L15" s="44"/>
      <c r="M15" s="44"/>
      <c r="N15" s="37">
        <f t="shared" si="3"/>
        <v>5</v>
      </c>
      <c r="O15" s="40"/>
      <c r="P15" s="40"/>
      <c r="Q15" s="46">
        <v>0.5</v>
      </c>
      <c r="R15" s="42">
        <f t="shared" si="4"/>
        <v>0.5</v>
      </c>
      <c r="S15" s="47">
        <f t="shared" si="5"/>
        <v>295.5</v>
      </c>
      <c r="T15" s="33">
        <f t="shared" si="6"/>
        <v>11</v>
      </c>
      <c r="U15" s="34">
        <v>0.0</v>
      </c>
      <c r="V15" s="3"/>
      <c r="W15" s="3"/>
      <c r="X15" s="3"/>
      <c r="Y15" s="3"/>
      <c r="Z15" s="3"/>
    </row>
    <row r="16">
      <c r="A16" s="102" t="s">
        <v>484</v>
      </c>
      <c r="B16" s="24">
        <f t="shared" si="1"/>
        <v>300</v>
      </c>
      <c r="C16" s="36">
        <v>30.0</v>
      </c>
      <c r="D16" s="37">
        <f t="shared" si="2"/>
        <v>300</v>
      </c>
      <c r="E16" s="39"/>
      <c r="F16" s="44"/>
      <c r="G16" s="40"/>
      <c r="H16" s="40"/>
      <c r="I16" s="39">
        <v>1.5</v>
      </c>
      <c r="J16" s="38"/>
      <c r="K16" s="44"/>
      <c r="L16" s="44"/>
      <c r="M16" s="44"/>
      <c r="N16" s="37">
        <f t="shared" si="3"/>
        <v>1.5</v>
      </c>
      <c r="O16" s="40"/>
      <c r="P16" s="40"/>
      <c r="Q16" s="46">
        <v>0.5</v>
      </c>
      <c r="R16" s="42">
        <f t="shared" si="4"/>
        <v>0.5</v>
      </c>
      <c r="S16" s="47">
        <f t="shared" si="5"/>
        <v>299</v>
      </c>
      <c r="T16" s="33">
        <f t="shared" si="6"/>
        <v>4</v>
      </c>
      <c r="U16" s="34">
        <v>0.0</v>
      </c>
      <c r="V16" s="3"/>
      <c r="W16" s="3"/>
      <c r="X16" s="3"/>
      <c r="Y16" s="3"/>
      <c r="Z16" s="3"/>
    </row>
    <row r="17">
      <c r="A17" s="102" t="s">
        <v>485</v>
      </c>
      <c r="B17" s="24">
        <f t="shared" si="1"/>
        <v>300</v>
      </c>
      <c r="C17" s="36">
        <v>30.0</v>
      </c>
      <c r="D17" s="37">
        <f t="shared" si="2"/>
        <v>300</v>
      </c>
      <c r="E17" s="38"/>
      <c r="F17" s="44"/>
      <c r="G17" s="40"/>
      <c r="H17" s="40"/>
      <c r="I17" s="39">
        <v>1.0</v>
      </c>
      <c r="J17" s="40"/>
      <c r="K17" s="44"/>
      <c r="L17" s="44"/>
      <c r="M17" s="44"/>
      <c r="N17" s="37">
        <f t="shared" si="3"/>
        <v>1</v>
      </c>
      <c r="O17" s="40"/>
      <c r="P17" s="40"/>
      <c r="Q17" s="40"/>
      <c r="R17" s="42">
        <f t="shared" si="4"/>
        <v>0</v>
      </c>
      <c r="S17" s="43">
        <f t="shared" si="5"/>
        <v>299</v>
      </c>
      <c r="T17" s="33">
        <f t="shared" si="6"/>
        <v>4</v>
      </c>
      <c r="U17" s="34">
        <v>0.0</v>
      </c>
      <c r="V17" s="3"/>
      <c r="W17" s="3"/>
      <c r="X17" s="3"/>
      <c r="Y17" s="3"/>
      <c r="Z17" s="3"/>
    </row>
    <row r="18">
      <c r="A18" s="102" t="s">
        <v>486</v>
      </c>
      <c r="B18" s="24">
        <f t="shared" si="1"/>
        <v>300</v>
      </c>
      <c r="C18" s="36">
        <v>30.0</v>
      </c>
      <c r="D18" s="37">
        <f t="shared" si="2"/>
        <v>300</v>
      </c>
      <c r="E18" s="39">
        <v>4.5</v>
      </c>
      <c r="F18" s="44"/>
      <c r="G18" s="40"/>
      <c r="H18" s="40"/>
      <c r="I18" s="38"/>
      <c r="J18" s="40"/>
      <c r="K18" s="44"/>
      <c r="L18" s="44"/>
      <c r="M18" s="44"/>
      <c r="N18" s="37">
        <f t="shared" si="3"/>
        <v>4.5</v>
      </c>
      <c r="O18" s="40"/>
      <c r="P18" s="40"/>
      <c r="Q18" s="40"/>
      <c r="R18" s="42">
        <f t="shared" si="4"/>
        <v>0</v>
      </c>
      <c r="S18" s="45">
        <f t="shared" si="5"/>
        <v>295.5</v>
      </c>
      <c r="T18" s="33">
        <f t="shared" si="6"/>
        <v>11</v>
      </c>
      <c r="U18" s="34">
        <v>0.0</v>
      </c>
      <c r="V18" s="3"/>
      <c r="W18" s="3"/>
      <c r="X18" s="3"/>
      <c r="Y18" s="3"/>
      <c r="Z18" s="3"/>
    </row>
    <row r="19">
      <c r="A19" s="102" t="s">
        <v>487</v>
      </c>
      <c r="B19" s="24">
        <f t="shared" si="1"/>
        <v>300</v>
      </c>
      <c r="C19" s="36">
        <v>30.0</v>
      </c>
      <c r="D19" s="37">
        <f t="shared" si="2"/>
        <v>300</v>
      </c>
      <c r="E19" s="38"/>
      <c r="F19" s="44"/>
      <c r="G19" s="40"/>
      <c r="H19" s="40"/>
      <c r="I19" s="39">
        <v>1.0</v>
      </c>
      <c r="J19" s="40"/>
      <c r="K19" s="44"/>
      <c r="L19" s="44"/>
      <c r="M19" s="44"/>
      <c r="N19" s="37">
        <f t="shared" si="3"/>
        <v>1</v>
      </c>
      <c r="O19" s="40"/>
      <c r="P19" s="40"/>
      <c r="Q19" s="46">
        <v>0.5</v>
      </c>
      <c r="R19" s="42">
        <f t="shared" si="4"/>
        <v>0.5</v>
      </c>
      <c r="S19" s="45">
        <f t="shared" si="5"/>
        <v>299.5</v>
      </c>
      <c r="T19" s="33">
        <f t="shared" si="6"/>
        <v>3</v>
      </c>
      <c r="U19" s="34">
        <v>0.0</v>
      </c>
      <c r="V19" s="3"/>
      <c r="W19" s="3"/>
      <c r="X19" s="3"/>
      <c r="Y19" s="3"/>
      <c r="Z19" s="3"/>
    </row>
    <row r="20">
      <c r="A20" s="102" t="s">
        <v>488</v>
      </c>
      <c r="B20" s="24">
        <f t="shared" si="1"/>
        <v>300</v>
      </c>
      <c r="C20" s="36">
        <v>30.0</v>
      </c>
      <c r="D20" s="37">
        <f t="shared" si="2"/>
        <v>300</v>
      </c>
      <c r="E20" s="38"/>
      <c r="F20" s="41">
        <v>1.0</v>
      </c>
      <c r="G20" s="40"/>
      <c r="H20" s="40"/>
      <c r="I20" s="39">
        <v>2.0</v>
      </c>
      <c r="J20" s="40"/>
      <c r="K20" s="44"/>
      <c r="L20" s="44"/>
      <c r="M20" s="44"/>
      <c r="N20" s="37">
        <f t="shared" si="3"/>
        <v>3</v>
      </c>
      <c r="O20" s="40"/>
      <c r="P20" s="40"/>
      <c r="Q20" s="46">
        <v>0.5</v>
      </c>
      <c r="R20" s="42">
        <f t="shared" si="4"/>
        <v>0.5</v>
      </c>
      <c r="S20" s="47">
        <f t="shared" si="5"/>
        <v>297.5</v>
      </c>
      <c r="T20" s="33">
        <f t="shared" si="6"/>
        <v>9</v>
      </c>
      <c r="U20" s="34">
        <v>0.0</v>
      </c>
      <c r="V20" s="3"/>
      <c r="W20" s="3"/>
      <c r="X20" s="3"/>
      <c r="Y20" s="3"/>
      <c r="Z20" s="3"/>
    </row>
    <row r="21">
      <c r="A21" s="103" t="s">
        <v>489</v>
      </c>
      <c r="B21" s="49">
        <f t="shared" si="1"/>
        <v>300</v>
      </c>
      <c r="C21" s="50">
        <v>30.0</v>
      </c>
      <c r="D21" s="51">
        <f t="shared" si="2"/>
        <v>300</v>
      </c>
      <c r="E21" s="68">
        <v>3.0</v>
      </c>
      <c r="F21" s="74">
        <v>0.5</v>
      </c>
      <c r="G21" s="53"/>
      <c r="H21" s="53"/>
      <c r="I21" s="52"/>
      <c r="J21" s="52"/>
      <c r="K21" s="54"/>
      <c r="L21" s="54"/>
      <c r="M21" s="54"/>
      <c r="N21" s="51">
        <f t="shared" si="3"/>
        <v>3.5</v>
      </c>
      <c r="O21" s="53"/>
      <c r="P21" s="53"/>
      <c r="Q21" s="55">
        <v>0.5</v>
      </c>
      <c r="R21" s="56">
        <f t="shared" si="4"/>
        <v>0.5</v>
      </c>
      <c r="S21" s="57">
        <f t="shared" si="5"/>
        <v>297</v>
      </c>
      <c r="T21" s="58">
        <f t="shared" si="6"/>
        <v>10</v>
      </c>
      <c r="U21" s="34">
        <v>0.0</v>
      </c>
      <c r="V21" s="3"/>
      <c r="W21" s="3"/>
      <c r="X21" s="3"/>
      <c r="Y21" s="3"/>
      <c r="Z21" s="3"/>
    </row>
    <row r="22">
      <c r="A22" s="3"/>
      <c r="B22" s="3"/>
      <c r="C22" s="3"/>
      <c r="D22" s="3"/>
      <c r="E22" s="124"/>
      <c r="F22" s="104"/>
      <c r="G22" s="3"/>
      <c r="H22" s="3"/>
      <c r="I22" s="124"/>
      <c r="J22" s="3"/>
      <c r="K22" s="104"/>
      <c r="L22" s="104"/>
      <c r="M22" s="104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3"/>
      <c r="B23" s="63" t="s">
        <v>490</v>
      </c>
      <c r="C23" s="3"/>
      <c r="D23" s="3"/>
      <c r="E23" s="124"/>
      <c r="F23" s="104"/>
      <c r="G23" s="3"/>
      <c r="H23" s="3"/>
      <c r="I23" s="124"/>
      <c r="J23" s="3"/>
      <c r="K23" s="104"/>
      <c r="L23" s="105" t="s">
        <v>39</v>
      </c>
      <c r="M23" s="104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65" t="s">
        <v>491</v>
      </c>
      <c r="C24" s="3"/>
      <c r="D24" s="3"/>
      <c r="E24" s="124"/>
      <c r="F24" s="104"/>
      <c r="G24" s="3"/>
      <c r="H24" s="3"/>
      <c r="I24" s="124"/>
      <c r="J24" s="3"/>
      <c r="K24" s="104"/>
      <c r="L24" s="107" t="s">
        <v>492</v>
      </c>
      <c r="M24" s="104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65" t="s">
        <v>493</v>
      </c>
      <c r="C25" s="3"/>
      <c r="D25" s="3"/>
      <c r="E25" s="124"/>
      <c r="F25" s="104"/>
      <c r="G25" s="3"/>
      <c r="H25" s="3"/>
      <c r="I25" s="124"/>
      <c r="J25" s="3"/>
      <c r="K25" s="104"/>
      <c r="L25" s="107" t="s">
        <v>494</v>
      </c>
      <c r="M25" s="104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65" t="s">
        <v>495</v>
      </c>
      <c r="C26" s="3"/>
      <c r="D26" s="3"/>
      <c r="E26" s="124"/>
      <c r="F26" s="104"/>
      <c r="G26" s="3"/>
      <c r="H26" s="3"/>
      <c r="I26" s="124"/>
      <c r="J26" s="3"/>
      <c r="K26" s="104"/>
      <c r="L26" s="105" t="s">
        <v>496</v>
      </c>
      <c r="M26" s="104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65" t="s">
        <v>497</v>
      </c>
      <c r="C27" s="3"/>
      <c r="D27" s="3"/>
      <c r="E27" s="124"/>
      <c r="F27" s="104"/>
      <c r="G27" s="3"/>
      <c r="H27" s="3"/>
      <c r="I27" s="124"/>
      <c r="J27" s="3"/>
      <c r="K27" s="104"/>
      <c r="L27" s="107" t="s">
        <v>498</v>
      </c>
      <c r="M27" s="104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65" t="s">
        <v>499</v>
      </c>
      <c r="C28" s="3"/>
      <c r="D28" s="3"/>
      <c r="E28" s="124"/>
      <c r="F28" s="104"/>
      <c r="G28" s="3"/>
      <c r="H28" s="3"/>
      <c r="I28" s="124"/>
      <c r="J28" s="3"/>
      <c r="K28" s="104"/>
      <c r="L28" s="104"/>
      <c r="M28" s="104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65" t="s">
        <v>500</v>
      </c>
      <c r="C29" s="3"/>
      <c r="D29" s="3"/>
      <c r="E29" s="124"/>
      <c r="F29" s="104"/>
      <c r="G29" s="3"/>
      <c r="H29" s="3"/>
      <c r="I29" s="124"/>
      <c r="J29" s="3"/>
      <c r="K29" s="104"/>
      <c r="L29" s="104"/>
      <c r="M29" s="10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65" t="s">
        <v>501</v>
      </c>
      <c r="C30" s="3"/>
      <c r="D30" s="3"/>
      <c r="E30" s="124"/>
      <c r="F30" s="104"/>
      <c r="G30" s="3"/>
      <c r="H30" s="3"/>
      <c r="I30" s="124"/>
      <c r="J30" s="3"/>
      <c r="K30" s="104"/>
      <c r="L30" s="104"/>
      <c r="M30" s="104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65" t="s">
        <v>502</v>
      </c>
      <c r="C31" s="3"/>
      <c r="D31" s="3"/>
      <c r="E31" s="124"/>
      <c r="F31" s="104"/>
      <c r="G31" s="3"/>
      <c r="H31" s="3"/>
      <c r="I31" s="124"/>
      <c r="J31" s="3"/>
      <c r="K31" s="104"/>
      <c r="L31" s="104"/>
      <c r="M31" s="104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65" t="s">
        <v>503</v>
      </c>
      <c r="C32" s="3"/>
      <c r="D32" s="3"/>
      <c r="E32" s="124"/>
      <c r="F32" s="104"/>
      <c r="G32" s="3"/>
      <c r="H32" s="3"/>
      <c r="I32" s="124"/>
      <c r="J32" s="3"/>
      <c r="K32" s="104"/>
      <c r="L32" s="104"/>
      <c r="M32" s="104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65" t="s">
        <v>504</v>
      </c>
      <c r="C33" s="3"/>
      <c r="D33" s="3"/>
      <c r="E33" s="124"/>
      <c r="F33" s="104"/>
      <c r="G33" s="3"/>
      <c r="H33" s="3"/>
      <c r="I33" s="124"/>
      <c r="J33" s="3"/>
      <c r="K33" s="104"/>
      <c r="L33" s="104"/>
      <c r="M33" s="104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65" t="s">
        <v>505</v>
      </c>
      <c r="C34" s="3"/>
      <c r="D34" s="3"/>
      <c r="E34" s="124"/>
      <c r="F34" s="104"/>
      <c r="G34" s="3"/>
      <c r="H34" s="3"/>
      <c r="I34" s="124"/>
      <c r="J34" s="3"/>
      <c r="K34" s="104"/>
      <c r="L34" s="104"/>
      <c r="M34" s="104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65" t="s">
        <v>506</v>
      </c>
      <c r="C35" s="3"/>
      <c r="D35" s="3"/>
      <c r="E35" s="124"/>
      <c r="F35" s="104"/>
      <c r="G35" s="3"/>
      <c r="H35" s="3"/>
      <c r="I35" s="124"/>
      <c r="J35" s="3"/>
      <c r="K35" s="104"/>
      <c r="L35" s="104"/>
      <c r="M35" s="104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65" t="s">
        <v>507</v>
      </c>
      <c r="C36" s="3"/>
      <c r="D36" s="3"/>
      <c r="E36" s="124"/>
      <c r="F36" s="104"/>
      <c r="G36" s="3"/>
      <c r="H36" s="3"/>
      <c r="I36" s="124"/>
      <c r="J36" s="3"/>
      <c r="K36" s="104"/>
      <c r="L36" s="104"/>
      <c r="M36" s="104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65" t="s">
        <v>508</v>
      </c>
      <c r="C37" s="3"/>
      <c r="D37" s="3"/>
      <c r="E37" s="124"/>
      <c r="F37" s="104"/>
      <c r="G37" s="3"/>
      <c r="H37" s="3"/>
      <c r="I37" s="124"/>
      <c r="J37" s="3"/>
      <c r="K37" s="104"/>
      <c r="L37" s="104"/>
      <c r="M37" s="104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124"/>
      <c r="F38" s="104"/>
      <c r="G38" s="3"/>
      <c r="H38" s="3"/>
      <c r="I38" s="124"/>
      <c r="J38" s="3"/>
      <c r="K38" s="104"/>
      <c r="L38" s="104"/>
      <c r="M38" s="104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124"/>
      <c r="F39" s="104"/>
      <c r="G39" s="3"/>
      <c r="H39" s="3"/>
      <c r="I39" s="124"/>
      <c r="J39" s="3"/>
      <c r="K39" s="104"/>
      <c r="L39" s="104"/>
      <c r="M39" s="104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124"/>
      <c r="F40" s="104"/>
      <c r="G40" s="3"/>
      <c r="H40" s="3"/>
      <c r="I40" s="124"/>
      <c r="J40" s="3"/>
      <c r="K40" s="104"/>
      <c r="L40" s="104"/>
      <c r="M40" s="104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 t="s">
        <v>509</v>
      </c>
      <c r="U41" s="3"/>
      <c r="V41" s="3"/>
      <c r="W41" s="3"/>
      <c r="X41" s="3"/>
      <c r="Y41" s="3"/>
      <c r="Z41" s="3"/>
    </row>
    <row r="42">
      <c r="A42" s="1" t="s">
        <v>50</v>
      </c>
      <c r="U42" s="3"/>
      <c r="V42" s="3"/>
      <c r="W42" s="3"/>
      <c r="X42" s="3"/>
      <c r="Y42" s="3"/>
      <c r="Z42" s="3"/>
    </row>
    <row r="43">
      <c r="A43" s="2"/>
      <c r="B43" s="4"/>
      <c r="C43" s="2"/>
      <c r="D43" s="2"/>
      <c r="E43" s="78"/>
      <c r="F43" s="98"/>
      <c r="G43" s="2"/>
      <c r="H43" s="2"/>
      <c r="I43" s="78"/>
      <c r="J43" s="2"/>
      <c r="K43" s="98"/>
      <c r="L43" s="98"/>
      <c r="M43" s="98"/>
      <c r="N43" s="2"/>
      <c r="O43" s="2"/>
      <c r="P43" s="2"/>
      <c r="Q43" s="2"/>
      <c r="R43" s="2"/>
      <c r="S43" s="2"/>
      <c r="T43" s="2"/>
      <c r="U43" s="3"/>
      <c r="V43" s="3"/>
      <c r="W43" s="3"/>
      <c r="X43" s="3"/>
      <c r="Y43" s="3"/>
      <c r="Z43" s="3"/>
    </row>
    <row r="44">
      <c r="A44" s="8" t="s">
        <v>2</v>
      </c>
      <c r="B44" s="9" t="s">
        <v>3</v>
      </c>
      <c r="C44" s="10"/>
      <c r="D44" s="11"/>
      <c r="E44" s="12" t="s">
        <v>4</v>
      </c>
      <c r="F44" s="10"/>
      <c r="G44" s="10"/>
      <c r="H44" s="10"/>
      <c r="I44" s="10"/>
      <c r="J44" s="10"/>
      <c r="K44" s="10"/>
      <c r="L44" s="10"/>
      <c r="M44" s="10"/>
      <c r="N44" s="11"/>
      <c r="O44" s="13" t="s">
        <v>5</v>
      </c>
      <c r="P44" s="10"/>
      <c r="Q44" s="10"/>
      <c r="R44" s="11"/>
      <c r="S44" s="14" t="s">
        <v>6</v>
      </c>
      <c r="T44" s="14" t="s">
        <v>7</v>
      </c>
      <c r="U44" s="3"/>
      <c r="V44" s="3"/>
      <c r="W44" s="3"/>
      <c r="X44" s="3"/>
      <c r="Y44" s="3"/>
      <c r="Z44" s="3"/>
    </row>
    <row r="45">
      <c r="A45" s="15"/>
      <c r="B45" s="16" t="s">
        <v>8</v>
      </c>
      <c r="C45" s="17" t="s">
        <v>9</v>
      </c>
      <c r="D45" s="14" t="s">
        <v>10</v>
      </c>
      <c r="E45" s="17" t="s">
        <v>11</v>
      </c>
      <c r="F45" s="18" t="s">
        <v>12</v>
      </c>
      <c r="G45" s="17" t="s">
        <v>13</v>
      </c>
      <c r="H45" s="17" t="s">
        <v>14</v>
      </c>
      <c r="I45" s="17" t="s">
        <v>15</v>
      </c>
      <c r="J45" s="17" t="s">
        <v>16</v>
      </c>
      <c r="K45" s="18" t="s">
        <v>17</v>
      </c>
      <c r="L45" s="18" t="s">
        <v>18</v>
      </c>
      <c r="M45" s="18" t="s">
        <v>19</v>
      </c>
      <c r="N45" s="14" t="s">
        <v>20</v>
      </c>
      <c r="O45" s="17" t="s">
        <v>21</v>
      </c>
      <c r="P45" s="17" t="s">
        <v>22</v>
      </c>
      <c r="Q45" s="17" t="s">
        <v>23</v>
      </c>
      <c r="R45" s="14" t="s">
        <v>24</v>
      </c>
      <c r="S45" s="19"/>
      <c r="T45" s="19"/>
      <c r="U45" s="3"/>
      <c r="V45" s="3"/>
      <c r="W45" s="3"/>
      <c r="X45" s="3"/>
      <c r="Y45" s="3"/>
      <c r="Z45" s="3"/>
    </row>
    <row r="46">
      <c r="A46" s="20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3"/>
      <c r="V46" s="3"/>
      <c r="W46" s="3"/>
      <c r="X46" s="3"/>
      <c r="Y46" s="3"/>
      <c r="Z46" s="3"/>
    </row>
    <row r="47">
      <c r="A47" s="100">
        <v>12.0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3"/>
      <c r="V47" s="3"/>
      <c r="W47" s="3"/>
      <c r="X47" s="3"/>
      <c r="Y47" s="3"/>
      <c r="Z47" s="3"/>
    </row>
    <row r="48">
      <c r="A48" s="101" t="s">
        <v>476</v>
      </c>
      <c r="B48" s="24">
        <f t="shared" ref="B48:B61" si="7">300-U48</f>
        <v>300</v>
      </c>
      <c r="C48" s="25">
        <v>30.0</v>
      </c>
      <c r="D48" s="26">
        <f t="shared" ref="D48:D61" si="8">B48</f>
        <v>300</v>
      </c>
      <c r="E48" s="28">
        <v>1.5</v>
      </c>
      <c r="F48" s="73"/>
      <c r="G48" s="29"/>
      <c r="H48" s="29"/>
      <c r="I48" s="28">
        <v>0.5</v>
      </c>
      <c r="J48" s="29"/>
      <c r="K48" s="30"/>
      <c r="L48" s="30"/>
      <c r="M48" s="30"/>
      <c r="N48" s="26">
        <f t="shared" ref="N48:N61" si="9">SUM(E48:M48)</f>
        <v>2</v>
      </c>
      <c r="O48" s="29"/>
      <c r="P48" s="29"/>
      <c r="Q48" s="83">
        <v>2.0</v>
      </c>
      <c r="R48" s="31">
        <f t="shared" ref="R48:R61" si="10">SUM(O48:Q48)</f>
        <v>2</v>
      </c>
      <c r="S48" s="32">
        <f t="shared" ref="S48:S61" si="11">D48-N48+R48</f>
        <v>300</v>
      </c>
      <c r="T48" s="33">
        <f t="shared" ref="T48:T61" si="12">RANK(S48,$S$48:$S$61,0)</f>
        <v>11</v>
      </c>
      <c r="U48" s="76">
        <v>0.0</v>
      </c>
      <c r="V48" s="3"/>
      <c r="W48" s="3"/>
      <c r="X48" s="3"/>
      <c r="Y48" s="3"/>
      <c r="Z48" s="3"/>
    </row>
    <row r="49">
      <c r="A49" s="102" t="s">
        <v>477</v>
      </c>
      <c r="B49" s="24">
        <f t="shared" si="7"/>
        <v>300</v>
      </c>
      <c r="C49" s="36">
        <v>30.0</v>
      </c>
      <c r="D49" s="37">
        <f t="shared" si="8"/>
        <v>300</v>
      </c>
      <c r="E49" s="39"/>
      <c r="F49" s="41"/>
      <c r="G49" s="40"/>
      <c r="H49" s="40"/>
      <c r="I49" s="39">
        <v>1.5</v>
      </c>
      <c r="J49" s="40"/>
      <c r="K49" s="44"/>
      <c r="L49" s="44"/>
      <c r="M49" s="44"/>
      <c r="N49" s="37">
        <f t="shared" si="9"/>
        <v>1.5</v>
      </c>
      <c r="O49" s="40"/>
      <c r="P49" s="40"/>
      <c r="Q49" s="67">
        <v>2.5</v>
      </c>
      <c r="R49" s="42">
        <f t="shared" si="10"/>
        <v>2.5</v>
      </c>
      <c r="S49" s="43">
        <f t="shared" si="11"/>
        <v>301</v>
      </c>
      <c r="T49" s="33">
        <f t="shared" si="12"/>
        <v>8</v>
      </c>
      <c r="U49" s="76">
        <v>0.0</v>
      </c>
      <c r="V49" s="3"/>
      <c r="W49" s="3"/>
      <c r="X49" s="3"/>
      <c r="Y49" s="3"/>
      <c r="Z49" s="3"/>
    </row>
    <row r="50">
      <c r="A50" s="102" t="s">
        <v>478</v>
      </c>
      <c r="B50" s="24">
        <f t="shared" si="7"/>
        <v>300</v>
      </c>
      <c r="C50" s="36">
        <v>30.0</v>
      </c>
      <c r="D50" s="37">
        <f t="shared" si="8"/>
        <v>300</v>
      </c>
      <c r="E50" s="39"/>
      <c r="F50" s="41"/>
      <c r="G50" s="40"/>
      <c r="H50" s="40"/>
      <c r="I50" s="39">
        <v>1.5</v>
      </c>
      <c r="J50" s="40"/>
      <c r="K50" s="44"/>
      <c r="L50" s="44"/>
      <c r="M50" s="44"/>
      <c r="N50" s="37">
        <f t="shared" si="9"/>
        <v>1.5</v>
      </c>
      <c r="O50" s="40"/>
      <c r="P50" s="40"/>
      <c r="Q50" s="67">
        <v>2.0</v>
      </c>
      <c r="R50" s="42">
        <f t="shared" si="10"/>
        <v>2</v>
      </c>
      <c r="S50" s="45">
        <f t="shared" si="11"/>
        <v>300.5</v>
      </c>
      <c r="T50" s="33">
        <f t="shared" si="12"/>
        <v>9</v>
      </c>
      <c r="U50" s="76">
        <v>0.0</v>
      </c>
      <c r="V50" s="3"/>
      <c r="W50" s="3"/>
      <c r="X50" s="3"/>
      <c r="Y50" s="3"/>
      <c r="Z50" s="3"/>
    </row>
    <row r="51">
      <c r="A51" s="102" t="s">
        <v>479</v>
      </c>
      <c r="B51" s="24">
        <f t="shared" si="7"/>
        <v>300</v>
      </c>
      <c r="C51" s="36">
        <v>30.0</v>
      </c>
      <c r="D51" s="37">
        <f t="shared" si="8"/>
        <v>300</v>
      </c>
      <c r="E51" s="39">
        <v>1.5</v>
      </c>
      <c r="F51" s="41"/>
      <c r="G51" s="40"/>
      <c r="H51" s="40"/>
      <c r="I51" s="39">
        <v>0.5</v>
      </c>
      <c r="J51" s="40"/>
      <c r="K51" s="44"/>
      <c r="L51" s="44"/>
      <c r="M51" s="44"/>
      <c r="N51" s="37">
        <f t="shared" si="9"/>
        <v>2</v>
      </c>
      <c r="O51" s="40"/>
      <c r="P51" s="40"/>
      <c r="Q51" s="67">
        <v>2.5</v>
      </c>
      <c r="R51" s="42">
        <f t="shared" si="10"/>
        <v>2.5</v>
      </c>
      <c r="S51" s="45">
        <f t="shared" si="11"/>
        <v>300.5</v>
      </c>
      <c r="T51" s="33">
        <f t="shared" si="12"/>
        <v>9</v>
      </c>
      <c r="U51" s="76">
        <v>0.0</v>
      </c>
      <c r="V51" s="3"/>
      <c r="W51" s="3"/>
      <c r="X51" s="3"/>
      <c r="Y51" s="3"/>
      <c r="Z51" s="3"/>
    </row>
    <row r="52">
      <c r="A52" s="102" t="s">
        <v>480</v>
      </c>
      <c r="B52" s="24">
        <f t="shared" si="7"/>
        <v>300</v>
      </c>
      <c r="C52" s="36">
        <v>30.0</v>
      </c>
      <c r="D52" s="37">
        <f t="shared" si="8"/>
        <v>300</v>
      </c>
      <c r="E52" s="38"/>
      <c r="F52" s="41"/>
      <c r="G52" s="40"/>
      <c r="H52" s="40"/>
      <c r="I52" s="39">
        <v>1.0</v>
      </c>
      <c r="J52" s="40"/>
      <c r="K52" s="44"/>
      <c r="L52" s="44"/>
      <c r="M52" s="44"/>
      <c r="N52" s="37">
        <f t="shared" si="9"/>
        <v>1</v>
      </c>
      <c r="O52" s="40"/>
      <c r="P52" s="40"/>
      <c r="Q52" s="67">
        <v>3.5</v>
      </c>
      <c r="R52" s="42">
        <f t="shared" si="10"/>
        <v>3.5</v>
      </c>
      <c r="S52" s="45">
        <f t="shared" si="11"/>
        <v>302.5</v>
      </c>
      <c r="T52" s="33">
        <f t="shared" si="12"/>
        <v>2</v>
      </c>
      <c r="U52" s="76">
        <v>0.0</v>
      </c>
      <c r="V52" s="3"/>
      <c r="W52" s="3"/>
      <c r="X52" s="3"/>
      <c r="Y52" s="3"/>
      <c r="Z52" s="3"/>
    </row>
    <row r="53">
      <c r="A53" s="102" t="s">
        <v>481</v>
      </c>
      <c r="B53" s="24">
        <f t="shared" si="7"/>
        <v>300</v>
      </c>
      <c r="C53" s="36">
        <v>30.0</v>
      </c>
      <c r="D53" s="37">
        <f t="shared" si="8"/>
        <v>300</v>
      </c>
      <c r="E53" s="39"/>
      <c r="F53" s="41">
        <v>0.5</v>
      </c>
      <c r="G53" s="40"/>
      <c r="H53" s="40"/>
      <c r="I53" s="39">
        <v>1.5</v>
      </c>
      <c r="J53" s="40"/>
      <c r="K53" s="44"/>
      <c r="L53" s="44"/>
      <c r="M53" s="44"/>
      <c r="N53" s="37">
        <f t="shared" si="9"/>
        <v>2</v>
      </c>
      <c r="O53" s="40"/>
      <c r="P53" s="40"/>
      <c r="Q53" s="67">
        <v>3.5</v>
      </c>
      <c r="R53" s="42">
        <f t="shared" si="10"/>
        <v>3.5</v>
      </c>
      <c r="S53" s="45">
        <f t="shared" si="11"/>
        <v>301.5</v>
      </c>
      <c r="T53" s="33">
        <f t="shared" si="12"/>
        <v>7</v>
      </c>
      <c r="U53" s="76">
        <v>0.0</v>
      </c>
      <c r="V53" s="3"/>
      <c r="W53" s="3"/>
      <c r="X53" s="3"/>
      <c r="Y53" s="3"/>
      <c r="Z53" s="3"/>
    </row>
    <row r="54">
      <c r="A54" s="102" t="s">
        <v>482</v>
      </c>
      <c r="B54" s="24">
        <f t="shared" si="7"/>
        <v>299</v>
      </c>
      <c r="C54" s="36">
        <v>30.0</v>
      </c>
      <c r="D54" s="37">
        <f t="shared" si="8"/>
        <v>299</v>
      </c>
      <c r="E54" s="38"/>
      <c r="F54" s="41"/>
      <c r="G54" s="40"/>
      <c r="H54" s="40"/>
      <c r="I54" s="39">
        <v>2.0</v>
      </c>
      <c r="J54" s="38"/>
      <c r="K54" s="44"/>
      <c r="L54" s="44"/>
      <c r="M54" s="44"/>
      <c r="N54" s="37">
        <f t="shared" si="9"/>
        <v>2</v>
      </c>
      <c r="O54" s="40"/>
      <c r="P54" s="40"/>
      <c r="Q54" s="67">
        <v>2.5</v>
      </c>
      <c r="R54" s="42">
        <f t="shared" si="10"/>
        <v>2.5</v>
      </c>
      <c r="S54" s="45">
        <f t="shared" si="11"/>
        <v>299.5</v>
      </c>
      <c r="T54" s="33">
        <f t="shared" si="12"/>
        <v>14</v>
      </c>
      <c r="U54" s="76">
        <v>1.0</v>
      </c>
      <c r="V54" s="3"/>
      <c r="W54" s="3"/>
      <c r="X54" s="3"/>
      <c r="Y54" s="3"/>
      <c r="Z54" s="3"/>
    </row>
    <row r="55">
      <c r="A55" s="102" t="s">
        <v>483</v>
      </c>
      <c r="B55" s="24">
        <f t="shared" si="7"/>
        <v>300</v>
      </c>
      <c r="C55" s="36">
        <v>30.0</v>
      </c>
      <c r="D55" s="37">
        <f t="shared" si="8"/>
        <v>300</v>
      </c>
      <c r="E55" s="39"/>
      <c r="F55" s="41"/>
      <c r="G55" s="40"/>
      <c r="H55" s="40"/>
      <c r="I55" s="39">
        <v>1.0</v>
      </c>
      <c r="J55" s="40"/>
      <c r="K55" s="44"/>
      <c r="L55" s="41"/>
      <c r="M55" s="41">
        <v>1.5</v>
      </c>
      <c r="N55" s="37">
        <f t="shared" si="9"/>
        <v>2.5</v>
      </c>
      <c r="O55" s="40"/>
      <c r="P55" s="40"/>
      <c r="Q55" s="67">
        <v>2.5</v>
      </c>
      <c r="R55" s="42">
        <f t="shared" si="10"/>
        <v>2.5</v>
      </c>
      <c r="S55" s="47">
        <f t="shared" si="11"/>
        <v>300</v>
      </c>
      <c r="T55" s="33">
        <f t="shared" si="12"/>
        <v>11</v>
      </c>
      <c r="U55" s="76">
        <v>0.0</v>
      </c>
      <c r="V55" s="3"/>
      <c r="W55" s="3"/>
      <c r="X55" s="3"/>
      <c r="Y55" s="3"/>
      <c r="Z55" s="3"/>
    </row>
    <row r="56">
      <c r="A56" s="102" t="s">
        <v>484</v>
      </c>
      <c r="B56" s="24">
        <f t="shared" si="7"/>
        <v>300</v>
      </c>
      <c r="C56" s="36">
        <v>30.0</v>
      </c>
      <c r="D56" s="37">
        <f t="shared" si="8"/>
        <v>300</v>
      </c>
      <c r="E56" s="39"/>
      <c r="F56" s="44"/>
      <c r="G56" s="40"/>
      <c r="H56" s="40"/>
      <c r="I56" s="39"/>
      <c r="J56" s="38"/>
      <c r="K56" s="44"/>
      <c r="L56" s="44"/>
      <c r="M56" s="41">
        <v>1.0</v>
      </c>
      <c r="N56" s="37">
        <f t="shared" si="9"/>
        <v>1</v>
      </c>
      <c r="O56" s="40"/>
      <c r="P56" s="40"/>
      <c r="Q56" s="67">
        <v>3.5</v>
      </c>
      <c r="R56" s="42">
        <f t="shared" si="10"/>
        <v>3.5</v>
      </c>
      <c r="S56" s="47">
        <f t="shared" si="11"/>
        <v>302.5</v>
      </c>
      <c r="T56" s="33">
        <f t="shared" si="12"/>
        <v>2</v>
      </c>
      <c r="U56" s="76">
        <v>0.0</v>
      </c>
      <c r="V56" s="3"/>
      <c r="W56" s="3"/>
      <c r="X56" s="3"/>
      <c r="Y56" s="3"/>
      <c r="Z56" s="3"/>
    </row>
    <row r="57">
      <c r="A57" s="102" t="s">
        <v>485</v>
      </c>
      <c r="B57" s="24">
        <f t="shared" si="7"/>
        <v>300</v>
      </c>
      <c r="C57" s="36">
        <v>30.0</v>
      </c>
      <c r="D57" s="37">
        <f t="shared" si="8"/>
        <v>300</v>
      </c>
      <c r="E57" s="38"/>
      <c r="F57" s="44"/>
      <c r="G57" s="40"/>
      <c r="H57" s="40"/>
      <c r="I57" s="39"/>
      <c r="J57" s="40"/>
      <c r="K57" s="44"/>
      <c r="L57" s="44"/>
      <c r="M57" s="44"/>
      <c r="N57" s="37">
        <f t="shared" si="9"/>
        <v>0</v>
      </c>
      <c r="O57" s="40"/>
      <c r="P57" s="40"/>
      <c r="Q57" s="67">
        <v>2.0</v>
      </c>
      <c r="R57" s="42">
        <f t="shared" si="10"/>
        <v>2</v>
      </c>
      <c r="S57" s="43">
        <f t="shared" si="11"/>
        <v>302</v>
      </c>
      <c r="T57" s="33">
        <f t="shared" si="12"/>
        <v>6</v>
      </c>
      <c r="U57" s="76">
        <v>0.0</v>
      </c>
      <c r="V57" s="3"/>
      <c r="W57" s="3"/>
      <c r="X57" s="3"/>
      <c r="Y57" s="3"/>
      <c r="Z57" s="3"/>
    </row>
    <row r="58">
      <c r="A58" s="102" t="s">
        <v>486</v>
      </c>
      <c r="B58" s="24">
        <f t="shared" si="7"/>
        <v>299</v>
      </c>
      <c r="C58" s="36">
        <v>30.0</v>
      </c>
      <c r="D58" s="37">
        <f t="shared" si="8"/>
        <v>299</v>
      </c>
      <c r="E58" s="39"/>
      <c r="F58" s="44"/>
      <c r="G58" s="40"/>
      <c r="H58" s="40"/>
      <c r="I58" s="39">
        <v>1.0</v>
      </c>
      <c r="J58" s="40"/>
      <c r="K58" s="44"/>
      <c r="L58" s="44"/>
      <c r="M58" s="44"/>
      <c r="N58" s="37">
        <f t="shared" si="9"/>
        <v>1</v>
      </c>
      <c r="O58" s="40"/>
      <c r="P58" s="40"/>
      <c r="Q58" s="67">
        <v>2.0</v>
      </c>
      <c r="R58" s="42">
        <f t="shared" si="10"/>
        <v>2</v>
      </c>
      <c r="S58" s="45">
        <f t="shared" si="11"/>
        <v>300</v>
      </c>
      <c r="T58" s="33">
        <f t="shared" si="12"/>
        <v>11</v>
      </c>
      <c r="U58" s="76">
        <v>1.0</v>
      </c>
      <c r="V58" s="3"/>
      <c r="W58" s="3"/>
      <c r="X58" s="3"/>
      <c r="Y58" s="3"/>
      <c r="Z58" s="3"/>
    </row>
    <row r="59">
      <c r="A59" s="102" t="s">
        <v>487</v>
      </c>
      <c r="B59" s="24">
        <f t="shared" si="7"/>
        <v>300</v>
      </c>
      <c r="C59" s="36">
        <v>30.0</v>
      </c>
      <c r="D59" s="37">
        <f t="shared" si="8"/>
        <v>300</v>
      </c>
      <c r="E59" s="38"/>
      <c r="F59" s="44"/>
      <c r="G59" s="40"/>
      <c r="H59" s="40"/>
      <c r="I59" s="39">
        <v>0.5</v>
      </c>
      <c r="J59" s="40"/>
      <c r="K59" s="44"/>
      <c r="L59" s="44"/>
      <c r="M59" s="44"/>
      <c r="N59" s="37">
        <f t="shared" si="9"/>
        <v>0.5</v>
      </c>
      <c r="O59" s="40"/>
      <c r="P59" s="40"/>
      <c r="Q59" s="67">
        <v>3.5</v>
      </c>
      <c r="R59" s="42">
        <f t="shared" si="10"/>
        <v>3.5</v>
      </c>
      <c r="S59" s="45">
        <f t="shared" si="11"/>
        <v>303</v>
      </c>
      <c r="T59" s="33">
        <f t="shared" si="12"/>
        <v>1</v>
      </c>
      <c r="U59" s="76">
        <v>0.0</v>
      </c>
      <c r="V59" s="3"/>
      <c r="W59" s="3"/>
      <c r="X59" s="3"/>
      <c r="Y59" s="3"/>
      <c r="Z59" s="3"/>
    </row>
    <row r="60">
      <c r="A60" s="102" t="s">
        <v>488</v>
      </c>
      <c r="B60" s="24">
        <f t="shared" si="7"/>
        <v>300</v>
      </c>
      <c r="C60" s="36">
        <v>30.0</v>
      </c>
      <c r="D60" s="37">
        <f t="shared" si="8"/>
        <v>300</v>
      </c>
      <c r="E60" s="38"/>
      <c r="F60" s="41"/>
      <c r="G60" s="40"/>
      <c r="H60" s="40"/>
      <c r="I60" s="39"/>
      <c r="J60" s="40"/>
      <c r="K60" s="44"/>
      <c r="L60" s="44"/>
      <c r="M60" s="44"/>
      <c r="N60" s="37">
        <f t="shared" si="9"/>
        <v>0</v>
      </c>
      <c r="O60" s="40"/>
      <c r="P60" s="40"/>
      <c r="Q60" s="67">
        <v>2.5</v>
      </c>
      <c r="R60" s="42">
        <f t="shared" si="10"/>
        <v>2.5</v>
      </c>
      <c r="S60" s="47">
        <f t="shared" si="11"/>
        <v>302.5</v>
      </c>
      <c r="T60" s="33">
        <f t="shared" si="12"/>
        <v>2</v>
      </c>
      <c r="U60" s="76">
        <v>0.0</v>
      </c>
      <c r="V60" s="3"/>
      <c r="W60" s="3"/>
      <c r="X60" s="3"/>
      <c r="Y60" s="3"/>
      <c r="Z60" s="3"/>
    </row>
    <row r="61">
      <c r="A61" s="103" t="s">
        <v>489</v>
      </c>
      <c r="B61" s="49">
        <f t="shared" si="7"/>
        <v>300</v>
      </c>
      <c r="C61" s="50">
        <v>30.0</v>
      </c>
      <c r="D61" s="51">
        <f t="shared" si="8"/>
        <v>300</v>
      </c>
      <c r="E61" s="68"/>
      <c r="F61" s="74"/>
      <c r="G61" s="53"/>
      <c r="H61" s="53"/>
      <c r="I61" s="68">
        <v>0.5</v>
      </c>
      <c r="J61" s="52"/>
      <c r="K61" s="54"/>
      <c r="L61" s="54"/>
      <c r="M61" s="54"/>
      <c r="N61" s="51">
        <f t="shared" si="9"/>
        <v>0.5</v>
      </c>
      <c r="O61" s="53"/>
      <c r="P61" s="53"/>
      <c r="Q61" s="69">
        <v>3.0</v>
      </c>
      <c r="R61" s="56">
        <f t="shared" si="10"/>
        <v>3</v>
      </c>
      <c r="S61" s="57">
        <f t="shared" si="11"/>
        <v>302.5</v>
      </c>
      <c r="T61" s="58">
        <f t="shared" si="12"/>
        <v>2</v>
      </c>
      <c r="U61" s="76">
        <v>0.0</v>
      </c>
      <c r="V61" s="3"/>
      <c r="W61" s="3"/>
      <c r="X61" s="3"/>
      <c r="Y61" s="3"/>
      <c r="Z61" s="3"/>
    </row>
    <row r="62">
      <c r="A62" s="3"/>
      <c r="B62" s="3"/>
      <c r="C62" s="3"/>
      <c r="D62" s="3"/>
      <c r="E62" s="124"/>
      <c r="F62" s="104"/>
      <c r="G62" s="3"/>
      <c r="H62" s="3"/>
      <c r="I62" s="124"/>
      <c r="J62" s="3"/>
      <c r="K62" s="104"/>
      <c r="L62" s="104"/>
      <c r="M62" s="104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63"/>
      <c r="B63" s="63" t="s">
        <v>490</v>
      </c>
      <c r="C63" s="3"/>
      <c r="D63" s="3"/>
      <c r="E63" s="124"/>
      <c r="F63" s="104"/>
      <c r="G63" s="3"/>
      <c r="H63" s="3"/>
      <c r="I63" s="124"/>
      <c r="J63" s="3"/>
      <c r="K63" s="104"/>
      <c r="L63" s="105"/>
      <c r="M63" s="104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65" t="s">
        <v>510</v>
      </c>
      <c r="C64" s="3"/>
      <c r="D64" s="3"/>
      <c r="E64" s="124"/>
      <c r="F64" s="104"/>
      <c r="G64" s="3"/>
      <c r="H64" s="3"/>
      <c r="I64" s="124"/>
      <c r="J64" s="3"/>
      <c r="K64" s="104"/>
      <c r="L64" s="107"/>
      <c r="M64" s="105" t="s">
        <v>52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65" t="s">
        <v>511</v>
      </c>
      <c r="C65" s="3"/>
      <c r="D65" s="3"/>
      <c r="E65" s="124"/>
      <c r="F65" s="104"/>
      <c r="G65" s="3"/>
      <c r="H65" s="3"/>
      <c r="I65" s="124"/>
      <c r="J65" s="3"/>
      <c r="K65" s="104"/>
      <c r="L65" s="107"/>
      <c r="M65" s="125" t="s">
        <v>512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65" t="s">
        <v>513</v>
      </c>
      <c r="C66" s="3"/>
      <c r="D66" s="3"/>
      <c r="E66" s="124"/>
      <c r="F66" s="104"/>
      <c r="G66" s="3"/>
      <c r="H66" s="3"/>
      <c r="I66" s="124"/>
      <c r="J66" s="3"/>
      <c r="K66" s="104"/>
      <c r="L66" s="105"/>
      <c r="M66" s="105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65" t="s">
        <v>514</v>
      </c>
      <c r="C67" s="3"/>
      <c r="D67" s="3"/>
      <c r="E67" s="124"/>
      <c r="F67" s="104"/>
      <c r="G67" s="3"/>
      <c r="H67" s="3"/>
      <c r="I67" s="124"/>
      <c r="J67" s="3"/>
      <c r="K67" s="104"/>
      <c r="L67" s="107"/>
      <c r="M67" s="72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65" t="s">
        <v>515</v>
      </c>
      <c r="C68" s="3"/>
      <c r="D68" s="3"/>
      <c r="E68" s="124"/>
      <c r="F68" s="104"/>
      <c r="G68" s="3"/>
      <c r="H68" s="3"/>
      <c r="I68" s="124"/>
      <c r="J68" s="3"/>
      <c r="K68" s="104"/>
      <c r="L68" s="104"/>
      <c r="M68" s="75" t="s">
        <v>57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65" t="s">
        <v>516</v>
      </c>
      <c r="C69" s="3"/>
      <c r="D69" s="3"/>
      <c r="E69" s="124"/>
      <c r="F69" s="104"/>
      <c r="G69" s="3"/>
      <c r="H69" s="3"/>
      <c r="I69" s="124"/>
      <c r="J69" s="3"/>
      <c r="K69" s="104"/>
      <c r="L69" s="104"/>
      <c r="M69" s="125" t="s">
        <v>517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65" t="s">
        <v>518</v>
      </c>
      <c r="C70" s="3"/>
      <c r="D70" s="3"/>
      <c r="E70" s="124"/>
      <c r="F70" s="104"/>
      <c r="G70" s="3"/>
      <c r="H70" s="3"/>
      <c r="I70" s="124"/>
      <c r="J70" s="3"/>
      <c r="K70" s="104"/>
      <c r="L70" s="104"/>
      <c r="M70" s="61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65" t="s">
        <v>519</v>
      </c>
      <c r="C71" s="3"/>
      <c r="D71" s="3"/>
      <c r="E71" s="124"/>
      <c r="F71" s="104"/>
      <c r="G71" s="3"/>
      <c r="H71" s="3"/>
      <c r="I71" s="124"/>
      <c r="J71" s="3"/>
      <c r="K71" s="104"/>
      <c r="L71" s="104"/>
      <c r="M71" s="75" t="s">
        <v>281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65" t="s">
        <v>520</v>
      </c>
      <c r="C72" s="3"/>
      <c r="D72" s="3"/>
      <c r="E72" s="124"/>
      <c r="F72" s="104"/>
      <c r="G72" s="3"/>
      <c r="H72" s="3"/>
      <c r="I72" s="124"/>
      <c r="J72" s="3"/>
      <c r="K72" s="104"/>
      <c r="L72" s="104"/>
      <c r="M72" s="125" t="s">
        <v>521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65" t="s">
        <v>522</v>
      </c>
      <c r="C73" s="3"/>
      <c r="D73" s="3"/>
      <c r="E73" s="124"/>
      <c r="F73" s="104"/>
      <c r="G73" s="3"/>
      <c r="H73" s="3"/>
      <c r="I73" s="124"/>
      <c r="J73" s="3"/>
      <c r="K73" s="104"/>
      <c r="L73" s="104"/>
      <c r="M73" s="125" t="s">
        <v>523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65" t="s">
        <v>524</v>
      </c>
      <c r="C74" s="3"/>
      <c r="D74" s="3"/>
      <c r="E74" s="124"/>
      <c r="F74" s="104"/>
      <c r="G74" s="3"/>
      <c r="H74" s="3"/>
      <c r="I74" s="124"/>
      <c r="J74" s="3"/>
      <c r="K74" s="104"/>
      <c r="L74" s="104"/>
      <c r="M74" s="125" t="s">
        <v>525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65" t="s">
        <v>526</v>
      </c>
      <c r="C75" s="3"/>
      <c r="D75" s="3"/>
      <c r="E75" s="124"/>
      <c r="F75" s="104"/>
      <c r="G75" s="3"/>
      <c r="H75" s="3"/>
      <c r="I75" s="124"/>
      <c r="J75" s="3"/>
      <c r="K75" s="104"/>
      <c r="L75" s="104"/>
      <c r="M75" s="107" t="s">
        <v>527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124"/>
      <c r="F76" s="104"/>
      <c r="G76" s="3"/>
      <c r="H76" s="3"/>
      <c r="I76" s="124"/>
      <c r="J76" s="3"/>
      <c r="K76" s="104"/>
      <c r="L76" s="104"/>
      <c r="M76" s="125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124"/>
      <c r="F77" s="104"/>
      <c r="G77" s="3"/>
      <c r="H77" s="3"/>
      <c r="I77" s="124"/>
      <c r="J77" s="3"/>
      <c r="K77" s="104"/>
      <c r="L77" s="104"/>
      <c r="M77" s="104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124"/>
      <c r="F78" s="104"/>
      <c r="G78" s="3"/>
      <c r="H78" s="3"/>
      <c r="I78" s="124"/>
      <c r="J78" s="3"/>
      <c r="K78" s="104"/>
      <c r="L78" s="104"/>
      <c r="M78" s="104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 t="s">
        <v>528</v>
      </c>
      <c r="U79" s="3"/>
      <c r="V79" s="3"/>
      <c r="W79" s="3"/>
      <c r="X79" s="3"/>
      <c r="Y79" s="3"/>
      <c r="Z79" s="3"/>
    </row>
    <row r="80">
      <c r="A80" s="1" t="s">
        <v>71</v>
      </c>
      <c r="U80" s="3"/>
      <c r="V80" s="3"/>
      <c r="W80" s="3"/>
      <c r="X80" s="3"/>
      <c r="Y80" s="3"/>
      <c r="Z80" s="3"/>
    </row>
    <row r="81">
      <c r="A81" s="2"/>
      <c r="B81" s="4"/>
      <c r="C81" s="2"/>
      <c r="D81" s="2"/>
      <c r="E81" s="78"/>
      <c r="F81" s="98"/>
      <c r="G81" s="2"/>
      <c r="H81" s="2"/>
      <c r="I81" s="78"/>
      <c r="J81" s="2"/>
      <c r="K81" s="98"/>
      <c r="L81" s="98"/>
      <c r="M81" s="98"/>
      <c r="N81" s="2"/>
      <c r="O81" s="2"/>
      <c r="P81" s="2"/>
      <c r="Q81" s="2"/>
      <c r="R81" s="2"/>
      <c r="S81" s="2"/>
      <c r="T81" s="2"/>
      <c r="U81" s="3"/>
      <c r="V81" s="3"/>
      <c r="W81" s="3"/>
      <c r="X81" s="3"/>
      <c r="Y81" s="3"/>
      <c r="Z81" s="3"/>
    </row>
    <row r="82">
      <c r="A82" s="8" t="s">
        <v>2</v>
      </c>
      <c r="B82" s="9" t="s">
        <v>3</v>
      </c>
      <c r="C82" s="10"/>
      <c r="D82" s="11"/>
      <c r="E82" s="12" t="s">
        <v>4</v>
      </c>
      <c r="F82" s="10"/>
      <c r="G82" s="10"/>
      <c r="H82" s="10"/>
      <c r="I82" s="10"/>
      <c r="J82" s="10"/>
      <c r="K82" s="10"/>
      <c r="L82" s="10"/>
      <c r="M82" s="10"/>
      <c r="N82" s="11"/>
      <c r="O82" s="13" t="s">
        <v>5</v>
      </c>
      <c r="P82" s="10"/>
      <c r="Q82" s="10"/>
      <c r="R82" s="11"/>
      <c r="S82" s="14" t="s">
        <v>6</v>
      </c>
      <c r="T82" s="14" t="s">
        <v>7</v>
      </c>
      <c r="U82" s="3"/>
      <c r="V82" s="3"/>
      <c r="W82" s="3"/>
      <c r="X82" s="3"/>
      <c r="Y82" s="3"/>
      <c r="Z82" s="3"/>
    </row>
    <row r="83">
      <c r="A83" s="15"/>
      <c r="B83" s="16" t="s">
        <v>8</v>
      </c>
      <c r="C83" s="17" t="s">
        <v>9</v>
      </c>
      <c r="D83" s="14" t="s">
        <v>10</v>
      </c>
      <c r="E83" s="17" t="s">
        <v>11</v>
      </c>
      <c r="F83" s="18" t="s">
        <v>12</v>
      </c>
      <c r="G83" s="17" t="s">
        <v>13</v>
      </c>
      <c r="H83" s="17" t="s">
        <v>14</v>
      </c>
      <c r="I83" s="17" t="s">
        <v>15</v>
      </c>
      <c r="J83" s="17" t="s">
        <v>16</v>
      </c>
      <c r="K83" s="18" t="s">
        <v>17</v>
      </c>
      <c r="L83" s="18" t="s">
        <v>18</v>
      </c>
      <c r="M83" s="18" t="s">
        <v>19</v>
      </c>
      <c r="N83" s="14" t="s">
        <v>20</v>
      </c>
      <c r="O83" s="17" t="s">
        <v>21</v>
      </c>
      <c r="P83" s="17" t="s">
        <v>22</v>
      </c>
      <c r="Q83" s="17" t="s">
        <v>23</v>
      </c>
      <c r="R83" s="14" t="s">
        <v>24</v>
      </c>
      <c r="S83" s="19"/>
      <c r="T83" s="19"/>
      <c r="U83" s="3"/>
      <c r="V83" s="3"/>
      <c r="W83" s="3"/>
      <c r="X83" s="3"/>
      <c r="Y83" s="3"/>
      <c r="Z83" s="3"/>
    </row>
    <row r="84">
      <c r="A84" s="20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3"/>
      <c r="V84" s="3"/>
      <c r="W84" s="3"/>
      <c r="X84" s="3"/>
      <c r="Y84" s="3"/>
      <c r="Z84" s="3"/>
    </row>
    <row r="85">
      <c r="A85" s="100">
        <v>12.0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3"/>
      <c r="V85" s="3"/>
      <c r="W85" s="3"/>
      <c r="X85" s="3"/>
      <c r="Y85" s="3"/>
      <c r="Z85" s="3"/>
    </row>
    <row r="86">
      <c r="A86" s="101" t="s">
        <v>476</v>
      </c>
      <c r="B86" s="24">
        <f t="shared" ref="B86:B99" si="13">300-U86</f>
        <v>300</v>
      </c>
      <c r="C86" s="25">
        <v>30.0</v>
      </c>
      <c r="D86" s="26">
        <f t="shared" ref="D86:D99" si="14">B86</f>
        <v>300</v>
      </c>
      <c r="E86" s="28"/>
      <c r="F86" s="73"/>
      <c r="G86" s="29"/>
      <c r="H86" s="29"/>
      <c r="I86" s="28"/>
      <c r="J86" s="29"/>
      <c r="K86" s="30"/>
      <c r="L86" s="30"/>
      <c r="M86" s="73"/>
      <c r="N86" s="26">
        <f t="shared" ref="N86:N99" si="15">SUM(E86:M86)</f>
        <v>0</v>
      </c>
      <c r="O86" s="29"/>
      <c r="P86" s="29"/>
      <c r="Q86" s="83"/>
      <c r="R86" s="31">
        <f t="shared" ref="R86:R99" si="16">SUM(O86:Q86)</f>
        <v>0</v>
      </c>
      <c r="S86" s="32">
        <f t="shared" ref="S86:S99" si="17">D86-N86+R86</f>
        <v>300</v>
      </c>
      <c r="T86" s="33">
        <f t="shared" ref="T86:T99" si="18">RANK(S86,$S$86:$S$99,0)</f>
        <v>3</v>
      </c>
      <c r="U86" s="76">
        <v>0.0</v>
      </c>
      <c r="V86" s="3"/>
      <c r="W86" s="3"/>
      <c r="X86" s="3"/>
      <c r="Y86" s="3"/>
      <c r="Z86" s="3"/>
    </row>
    <row r="87">
      <c r="A87" s="102" t="s">
        <v>477</v>
      </c>
      <c r="B87" s="24">
        <f t="shared" si="13"/>
        <v>300</v>
      </c>
      <c r="C87" s="36">
        <v>30.0</v>
      </c>
      <c r="D87" s="37">
        <f t="shared" si="14"/>
        <v>300</v>
      </c>
      <c r="E87" s="39"/>
      <c r="F87" s="41"/>
      <c r="G87" s="40"/>
      <c r="H87" s="40"/>
      <c r="I87" s="39">
        <v>0.5</v>
      </c>
      <c r="J87" s="40"/>
      <c r="K87" s="44"/>
      <c r="L87" s="44"/>
      <c r="M87" s="44"/>
      <c r="N87" s="37">
        <f t="shared" si="15"/>
        <v>0.5</v>
      </c>
      <c r="O87" s="40"/>
      <c r="P87" s="40"/>
      <c r="Q87" s="67"/>
      <c r="R87" s="42">
        <f t="shared" si="16"/>
        <v>0</v>
      </c>
      <c r="S87" s="43">
        <f t="shared" si="17"/>
        <v>299.5</v>
      </c>
      <c r="T87" s="33">
        <f t="shared" si="18"/>
        <v>5</v>
      </c>
      <c r="U87" s="76">
        <v>0.0</v>
      </c>
      <c r="V87" s="3"/>
      <c r="W87" s="3"/>
      <c r="X87" s="3"/>
      <c r="Y87" s="3"/>
      <c r="Z87" s="3"/>
    </row>
    <row r="88">
      <c r="A88" s="102" t="s">
        <v>478</v>
      </c>
      <c r="B88" s="24">
        <f t="shared" si="13"/>
        <v>299</v>
      </c>
      <c r="C88" s="36">
        <v>30.0</v>
      </c>
      <c r="D88" s="37">
        <f t="shared" si="14"/>
        <v>299</v>
      </c>
      <c r="E88" s="39"/>
      <c r="F88" s="41"/>
      <c r="G88" s="40"/>
      <c r="H88" s="40"/>
      <c r="I88" s="39"/>
      <c r="J88" s="40"/>
      <c r="K88" s="44"/>
      <c r="L88" s="41">
        <v>1.0</v>
      </c>
      <c r="M88" s="44"/>
      <c r="N88" s="37">
        <f t="shared" si="15"/>
        <v>1</v>
      </c>
      <c r="O88" s="40"/>
      <c r="P88" s="40"/>
      <c r="Q88" s="67"/>
      <c r="R88" s="42">
        <f t="shared" si="16"/>
        <v>0</v>
      </c>
      <c r="S88" s="45">
        <f t="shared" si="17"/>
        <v>298</v>
      </c>
      <c r="T88" s="33">
        <f t="shared" si="18"/>
        <v>13</v>
      </c>
      <c r="U88" s="76">
        <v>1.0</v>
      </c>
      <c r="V88" s="3"/>
      <c r="W88" s="3"/>
      <c r="X88" s="3"/>
      <c r="Y88" s="3"/>
      <c r="Z88" s="3"/>
    </row>
    <row r="89">
      <c r="A89" s="102" t="s">
        <v>479</v>
      </c>
      <c r="B89" s="24">
        <f t="shared" si="13"/>
        <v>300</v>
      </c>
      <c r="C89" s="36">
        <v>30.0</v>
      </c>
      <c r="D89" s="37">
        <f t="shared" si="14"/>
        <v>300</v>
      </c>
      <c r="E89" s="39"/>
      <c r="F89" s="41"/>
      <c r="G89" s="40"/>
      <c r="H89" s="40"/>
      <c r="I89" s="39"/>
      <c r="J89" s="40"/>
      <c r="K89" s="44"/>
      <c r="L89" s="44"/>
      <c r="M89" s="41"/>
      <c r="N89" s="37">
        <f t="shared" si="15"/>
        <v>0</v>
      </c>
      <c r="O89" s="40"/>
      <c r="P89" s="40"/>
      <c r="Q89" s="67"/>
      <c r="R89" s="42">
        <f t="shared" si="16"/>
        <v>0</v>
      </c>
      <c r="S89" s="45">
        <f t="shared" si="17"/>
        <v>300</v>
      </c>
      <c r="T89" s="33">
        <f t="shared" si="18"/>
        <v>3</v>
      </c>
      <c r="U89" s="76">
        <v>0.0</v>
      </c>
      <c r="V89" s="3"/>
      <c r="W89" s="3"/>
      <c r="X89" s="3"/>
      <c r="Y89" s="3"/>
      <c r="Z89" s="3"/>
    </row>
    <row r="90">
      <c r="A90" s="102" t="s">
        <v>480</v>
      </c>
      <c r="B90" s="24">
        <f t="shared" si="13"/>
        <v>300</v>
      </c>
      <c r="C90" s="36">
        <v>30.0</v>
      </c>
      <c r="D90" s="37">
        <f t="shared" si="14"/>
        <v>300</v>
      </c>
      <c r="E90" s="38"/>
      <c r="F90" s="41"/>
      <c r="G90" s="40"/>
      <c r="H90" s="40"/>
      <c r="I90" s="39"/>
      <c r="J90" s="40"/>
      <c r="K90" s="44"/>
      <c r="L90" s="44"/>
      <c r="M90" s="41">
        <v>1.0</v>
      </c>
      <c r="N90" s="37">
        <f t="shared" si="15"/>
        <v>1</v>
      </c>
      <c r="O90" s="40"/>
      <c r="P90" s="40"/>
      <c r="Q90" s="67">
        <v>0.5</v>
      </c>
      <c r="R90" s="42">
        <f t="shared" si="16"/>
        <v>0.5</v>
      </c>
      <c r="S90" s="45">
        <f t="shared" si="17"/>
        <v>299.5</v>
      </c>
      <c r="T90" s="33">
        <f t="shared" si="18"/>
        <v>5</v>
      </c>
      <c r="U90" s="76">
        <v>0.0</v>
      </c>
      <c r="V90" s="3"/>
      <c r="W90" s="3"/>
      <c r="X90" s="3"/>
      <c r="Y90" s="3"/>
      <c r="Z90" s="3"/>
    </row>
    <row r="91">
      <c r="A91" s="102" t="s">
        <v>481</v>
      </c>
      <c r="B91" s="24">
        <f t="shared" si="13"/>
        <v>300</v>
      </c>
      <c r="C91" s="36">
        <v>30.0</v>
      </c>
      <c r="D91" s="37">
        <f t="shared" si="14"/>
        <v>300</v>
      </c>
      <c r="E91" s="39"/>
      <c r="F91" s="41"/>
      <c r="G91" s="40"/>
      <c r="H91" s="40"/>
      <c r="I91" s="39">
        <v>0.5</v>
      </c>
      <c r="J91" s="40"/>
      <c r="K91" s="44"/>
      <c r="L91" s="41">
        <v>1.0</v>
      </c>
      <c r="M91" s="41"/>
      <c r="N91" s="37">
        <f t="shared" si="15"/>
        <v>1.5</v>
      </c>
      <c r="O91" s="40"/>
      <c r="P91" s="40"/>
      <c r="Q91" s="67"/>
      <c r="R91" s="42">
        <f t="shared" si="16"/>
        <v>0</v>
      </c>
      <c r="S91" s="45">
        <f t="shared" si="17"/>
        <v>298.5</v>
      </c>
      <c r="T91" s="33">
        <f t="shared" si="18"/>
        <v>9</v>
      </c>
      <c r="U91" s="76">
        <v>0.0</v>
      </c>
      <c r="V91" s="3"/>
      <c r="W91" s="3"/>
      <c r="X91" s="3"/>
      <c r="Y91" s="3"/>
      <c r="Z91" s="3"/>
    </row>
    <row r="92">
      <c r="A92" s="102" t="s">
        <v>482</v>
      </c>
      <c r="B92" s="24">
        <f t="shared" si="13"/>
        <v>300</v>
      </c>
      <c r="C92" s="36">
        <v>30.0</v>
      </c>
      <c r="D92" s="37">
        <f t="shared" si="14"/>
        <v>300</v>
      </c>
      <c r="E92" s="38"/>
      <c r="F92" s="41"/>
      <c r="G92" s="40"/>
      <c r="H92" s="40"/>
      <c r="I92" s="39"/>
      <c r="J92" s="38"/>
      <c r="K92" s="44"/>
      <c r="L92" s="44"/>
      <c r="M92" s="41">
        <v>1.5</v>
      </c>
      <c r="N92" s="37">
        <f t="shared" si="15"/>
        <v>1.5</v>
      </c>
      <c r="O92" s="40"/>
      <c r="P92" s="40"/>
      <c r="Q92" s="67"/>
      <c r="R92" s="42">
        <f t="shared" si="16"/>
        <v>0</v>
      </c>
      <c r="S92" s="45">
        <f t="shared" si="17"/>
        <v>298.5</v>
      </c>
      <c r="T92" s="33">
        <f t="shared" si="18"/>
        <v>9</v>
      </c>
      <c r="U92" s="76">
        <v>0.0</v>
      </c>
      <c r="V92" s="3"/>
      <c r="W92" s="3"/>
      <c r="X92" s="3"/>
      <c r="Y92" s="3"/>
      <c r="Z92" s="3"/>
    </row>
    <row r="93">
      <c r="A93" s="102" t="s">
        <v>483</v>
      </c>
      <c r="B93" s="24">
        <f t="shared" si="13"/>
        <v>300</v>
      </c>
      <c r="C93" s="36">
        <v>30.0</v>
      </c>
      <c r="D93" s="37">
        <f t="shared" si="14"/>
        <v>300</v>
      </c>
      <c r="E93" s="39"/>
      <c r="F93" s="41"/>
      <c r="G93" s="40"/>
      <c r="H93" s="40"/>
      <c r="I93" s="39"/>
      <c r="J93" s="40"/>
      <c r="K93" s="44"/>
      <c r="L93" s="41">
        <v>1.0</v>
      </c>
      <c r="M93" s="41">
        <v>0.5</v>
      </c>
      <c r="N93" s="37">
        <f t="shared" si="15"/>
        <v>1.5</v>
      </c>
      <c r="O93" s="40"/>
      <c r="P93" s="40"/>
      <c r="Q93" s="67">
        <v>0.5</v>
      </c>
      <c r="R93" s="42">
        <f t="shared" si="16"/>
        <v>0.5</v>
      </c>
      <c r="S93" s="47">
        <f t="shared" si="17"/>
        <v>299</v>
      </c>
      <c r="T93" s="33">
        <f t="shared" si="18"/>
        <v>8</v>
      </c>
      <c r="U93" s="76">
        <v>0.0</v>
      </c>
      <c r="V93" s="3"/>
      <c r="W93" s="3"/>
      <c r="X93" s="3"/>
      <c r="Y93" s="3"/>
      <c r="Z93" s="3"/>
    </row>
    <row r="94">
      <c r="A94" s="102" t="s">
        <v>484</v>
      </c>
      <c r="B94" s="24">
        <f t="shared" si="13"/>
        <v>299</v>
      </c>
      <c r="C94" s="36">
        <v>30.0</v>
      </c>
      <c r="D94" s="37">
        <f t="shared" si="14"/>
        <v>299</v>
      </c>
      <c r="E94" s="39"/>
      <c r="F94" s="44"/>
      <c r="G94" s="40"/>
      <c r="H94" s="40"/>
      <c r="I94" s="39"/>
      <c r="J94" s="38"/>
      <c r="K94" s="44"/>
      <c r="L94" s="44"/>
      <c r="M94" s="41"/>
      <c r="N94" s="37">
        <f t="shared" si="15"/>
        <v>0</v>
      </c>
      <c r="O94" s="40"/>
      <c r="P94" s="40"/>
      <c r="Q94" s="67">
        <v>0.5</v>
      </c>
      <c r="R94" s="42">
        <f t="shared" si="16"/>
        <v>0.5</v>
      </c>
      <c r="S94" s="47">
        <f t="shared" si="17"/>
        <v>299.5</v>
      </c>
      <c r="T94" s="33">
        <f t="shared" si="18"/>
        <v>5</v>
      </c>
      <c r="U94" s="76">
        <v>1.0</v>
      </c>
      <c r="V94" s="3"/>
      <c r="W94" s="3"/>
      <c r="X94" s="3"/>
      <c r="Y94" s="3"/>
      <c r="Z94" s="3"/>
    </row>
    <row r="95">
      <c r="A95" s="102" t="s">
        <v>485</v>
      </c>
      <c r="B95" s="24">
        <f t="shared" si="13"/>
        <v>300</v>
      </c>
      <c r="C95" s="36">
        <v>30.0</v>
      </c>
      <c r="D95" s="37">
        <f t="shared" si="14"/>
        <v>300</v>
      </c>
      <c r="E95" s="38"/>
      <c r="F95" s="44"/>
      <c r="G95" s="40"/>
      <c r="H95" s="40"/>
      <c r="I95" s="39">
        <v>0.5</v>
      </c>
      <c r="J95" s="40"/>
      <c r="K95" s="41">
        <v>1.0</v>
      </c>
      <c r="L95" s="44"/>
      <c r="M95" s="41"/>
      <c r="N95" s="37">
        <f t="shared" si="15"/>
        <v>1.5</v>
      </c>
      <c r="O95" s="40"/>
      <c r="P95" s="40"/>
      <c r="Q95" s="67"/>
      <c r="R95" s="42">
        <f t="shared" si="16"/>
        <v>0</v>
      </c>
      <c r="S95" s="43">
        <f t="shared" si="17"/>
        <v>298.5</v>
      </c>
      <c r="T95" s="33">
        <f t="shared" si="18"/>
        <v>9</v>
      </c>
      <c r="U95" s="65">
        <v>0.0</v>
      </c>
      <c r="V95" s="3"/>
      <c r="W95" s="3"/>
      <c r="X95" s="3"/>
      <c r="Y95" s="3"/>
      <c r="Z95" s="3"/>
    </row>
    <row r="96">
      <c r="A96" s="102" t="s">
        <v>486</v>
      </c>
      <c r="B96" s="24">
        <f t="shared" si="13"/>
        <v>299</v>
      </c>
      <c r="C96" s="36">
        <v>30.0</v>
      </c>
      <c r="D96" s="37">
        <f t="shared" si="14"/>
        <v>299</v>
      </c>
      <c r="E96" s="39">
        <v>1.5</v>
      </c>
      <c r="F96" s="44"/>
      <c r="G96" s="40"/>
      <c r="H96" s="40"/>
      <c r="I96" s="39">
        <v>0.5</v>
      </c>
      <c r="J96" s="40"/>
      <c r="K96" s="44"/>
      <c r="L96" s="44"/>
      <c r="M96" s="41">
        <v>0.5</v>
      </c>
      <c r="N96" s="37">
        <f t="shared" si="15"/>
        <v>2.5</v>
      </c>
      <c r="O96" s="40"/>
      <c r="P96" s="40"/>
      <c r="Q96" s="67"/>
      <c r="R96" s="42">
        <f t="shared" si="16"/>
        <v>0</v>
      </c>
      <c r="S96" s="45">
        <f t="shared" si="17"/>
        <v>296.5</v>
      </c>
      <c r="T96" s="33">
        <f t="shared" si="18"/>
        <v>14</v>
      </c>
      <c r="U96" s="76">
        <v>1.0</v>
      </c>
      <c r="V96" s="3"/>
      <c r="W96" s="3"/>
      <c r="X96" s="3"/>
      <c r="Y96" s="3"/>
      <c r="Z96" s="3"/>
    </row>
    <row r="97">
      <c r="A97" s="102" t="s">
        <v>487</v>
      </c>
      <c r="B97" s="24">
        <f t="shared" si="13"/>
        <v>300</v>
      </c>
      <c r="C97" s="36">
        <v>30.0</v>
      </c>
      <c r="D97" s="37">
        <f t="shared" si="14"/>
        <v>300</v>
      </c>
      <c r="E97" s="38"/>
      <c r="F97" s="44"/>
      <c r="G97" s="40"/>
      <c r="H97" s="40"/>
      <c r="I97" s="39"/>
      <c r="J97" s="40"/>
      <c r="K97" s="44"/>
      <c r="L97" s="44"/>
      <c r="M97" s="44"/>
      <c r="N97" s="37">
        <f t="shared" si="15"/>
        <v>0</v>
      </c>
      <c r="O97" s="40"/>
      <c r="P97" s="40"/>
      <c r="Q97" s="67">
        <v>0.5</v>
      </c>
      <c r="R97" s="42">
        <f t="shared" si="16"/>
        <v>0.5</v>
      </c>
      <c r="S97" s="45">
        <f t="shared" si="17"/>
        <v>300.5</v>
      </c>
      <c r="T97" s="33">
        <f t="shared" si="18"/>
        <v>1</v>
      </c>
      <c r="U97" s="76">
        <v>0.0</v>
      </c>
      <c r="V97" s="3"/>
      <c r="W97" s="3"/>
      <c r="X97" s="3"/>
      <c r="Y97" s="3"/>
      <c r="Z97" s="3"/>
    </row>
    <row r="98">
      <c r="A98" s="102" t="s">
        <v>488</v>
      </c>
      <c r="B98" s="24">
        <f t="shared" si="13"/>
        <v>300</v>
      </c>
      <c r="C98" s="36">
        <v>30.0</v>
      </c>
      <c r="D98" s="37">
        <f t="shared" si="14"/>
        <v>300</v>
      </c>
      <c r="E98" s="38"/>
      <c r="F98" s="41">
        <v>1.0</v>
      </c>
      <c r="G98" s="40"/>
      <c r="H98" s="40"/>
      <c r="I98" s="39">
        <v>1.0</v>
      </c>
      <c r="J98" s="40"/>
      <c r="K98" s="44"/>
      <c r="L98" s="44"/>
      <c r="M98" s="44"/>
      <c r="N98" s="37">
        <f t="shared" si="15"/>
        <v>2</v>
      </c>
      <c r="O98" s="40"/>
      <c r="P98" s="40"/>
      <c r="Q98" s="67">
        <v>0.5</v>
      </c>
      <c r="R98" s="42">
        <f t="shared" si="16"/>
        <v>0.5</v>
      </c>
      <c r="S98" s="47">
        <f t="shared" si="17"/>
        <v>298.5</v>
      </c>
      <c r="T98" s="33">
        <f t="shared" si="18"/>
        <v>9</v>
      </c>
      <c r="U98" s="76">
        <v>0.0</v>
      </c>
      <c r="V98" s="3"/>
      <c r="W98" s="3"/>
      <c r="X98" s="3"/>
      <c r="Y98" s="3"/>
      <c r="Z98" s="3"/>
    </row>
    <row r="99">
      <c r="A99" s="103" t="s">
        <v>489</v>
      </c>
      <c r="B99" s="49">
        <f t="shared" si="13"/>
        <v>300</v>
      </c>
      <c r="C99" s="50">
        <v>30.0</v>
      </c>
      <c r="D99" s="51">
        <f t="shared" si="14"/>
        <v>300</v>
      </c>
      <c r="E99" s="68"/>
      <c r="F99" s="74"/>
      <c r="G99" s="53"/>
      <c r="H99" s="53"/>
      <c r="I99" s="68"/>
      <c r="J99" s="52"/>
      <c r="K99" s="54"/>
      <c r="L99" s="54"/>
      <c r="M99" s="54"/>
      <c r="N99" s="51">
        <f t="shared" si="15"/>
        <v>0</v>
      </c>
      <c r="O99" s="53"/>
      <c r="P99" s="53"/>
      <c r="Q99" s="69">
        <v>0.5</v>
      </c>
      <c r="R99" s="56">
        <f t="shared" si="16"/>
        <v>0.5</v>
      </c>
      <c r="S99" s="57">
        <f t="shared" si="17"/>
        <v>300.5</v>
      </c>
      <c r="T99" s="58">
        <f t="shared" si="18"/>
        <v>1</v>
      </c>
      <c r="U99" s="76">
        <v>0.0</v>
      </c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124"/>
      <c r="F100" s="104"/>
      <c r="G100" s="3"/>
      <c r="H100" s="3"/>
      <c r="I100" s="124"/>
      <c r="J100" s="3"/>
      <c r="K100" s="104"/>
      <c r="L100" s="104"/>
      <c r="M100" s="104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63"/>
      <c r="B101" s="63" t="s">
        <v>490</v>
      </c>
      <c r="C101" s="3"/>
      <c r="D101" s="3"/>
      <c r="E101" s="124"/>
      <c r="F101" s="104"/>
      <c r="G101" s="63" t="s">
        <v>529</v>
      </c>
      <c r="H101" s="3"/>
      <c r="I101" s="124"/>
      <c r="J101" s="3"/>
      <c r="K101" s="104"/>
      <c r="L101" s="105"/>
      <c r="M101" s="104"/>
      <c r="N101" s="62" t="s">
        <v>75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65" t="s">
        <v>530</v>
      </c>
      <c r="C102" s="3"/>
      <c r="D102" s="3"/>
      <c r="E102" s="124"/>
      <c r="F102" s="104"/>
      <c r="G102" s="63" t="s">
        <v>531</v>
      </c>
      <c r="H102" s="3"/>
      <c r="I102" s="124"/>
      <c r="J102" s="3"/>
      <c r="K102" s="104"/>
      <c r="L102" s="107"/>
      <c r="M102" s="125"/>
      <c r="N102" s="76" t="s">
        <v>532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65" t="s">
        <v>533</v>
      </c>
      <c r="C103" s="3"/>
      <c r="D103" s="3"/>
      <c r="E103" s="124"/>
      <c r="F103" s="104"/>
      <c r="G103" s="62" t="s">
        <v>534</v>
      </c>
      <c r="H103" s="3"/>
      <c r="I103" s="124"/>
      <c r="J103" s="3"/>
      <c r="K103" s="104"/>
      <c r="L103" s="104"/>
      <c r="M103" s="75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65" t="s">
        <v>535</v>
      </c>
      <c r="C104" s="3"/>
      <c r="D104" s="3"/>
      <c r="E104" s="124"/>
      <c r="F104" s="104"/>
      <c r="G104" s="3"/>
      <c r="H104" s="3"/>
      <c r="I104" s="124"/>
      <c r="J104" s="3"/>
      <c r="K104" s="104"/>
      <c r="L104" s="104"/>
      <c r="M104" s="125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65" t="s">
        <v>536</v>
      </c>
      <c r="C105" s="3"/>
      <c r="D105" s="3"/>
      <c r="E105" s="124"/>
      <c r="F105" s="104"/>
      <c r="G105" s="3"/>
      <c r="H105" s="3"/>
      <c r="I105" s="124"/>
      <c r="J105" s="3"/>
      <c r="K105" s="104"/>
      <c r="L105" s="104"/>
      <c r="M105" s="125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65" t="s">
        <v>537</v>
      </c>
      <c r="C106" s="3"/>
      <c r="D106" s="3"/>
      <c r="E106" s="124"/>
      <c r="F106" s="104"/>
      <c r="G106" s="3"/>
      <c r="H106" s="3"/>
      <c r="I106" s="124"/>
      <c r="J106" s="3"/>
      <c r="K106" s="104"/>
      <c r="L106" s="104"/>
      <c r="M106" s="125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65" t="s">
        <v>538</v>
      </c>
      <c r="C107" s="3"/>
      <c r="D107" s="3"/>
      <c r="E107" s="124"/>
      <c r="F107" s="104"/>
      <c r="G107" s="3"/>
      <c r="H107" s="3"/>
      <c r="I107" s="124"/>
      <c r="J107" s="3"/>
      <c r="K107" s="104"/>
      <c r="L107" s="104"/>
      <c r="M107" s="107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65"/>
      <c r="C108" s="3"/>
      <c r="D108" s="3"/>
      <c r="E108" s="124"/>
      <c r="F108" s="104"/>
      <c r="G108" s="3"/>
      <c r="H108" s="3"/>
      <c r="I108" s="124"/>
      <c r="J108" s="3"/>
      <c r="K108" s="104"/>
      <c r="L108" s="104"/>
      <c r="M108" s="125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124"/>
      <c r="F109" s="104"/>
      <c r="G109" s="3"/>
      <c r="H109" s="3"/>
      <c r="I109" s="124"/>
      <c r="J109" s="3"/>
      <c r="K109" s="104"/>
      <c r="L109" s="104"/>
      <c r="M109" s="104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124"/>
      <c r="F110" s="104"/>
      <c r="G110" s="3"/>
      <c r="H110" s="3"/>
      <c r="I110" s="124"/>
      <c r="J110" s="3"/>
      <c r="K110" s="104"/>
      <c r="L110" s="104"/>
      <c r="M110" s="104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" t="s">
        <v>539</v>
      </c>
      <c r="U111" s="3"/>
      <c r="V111" s="3"/>
      <c r="W111" s="3"/>
      <c r="X111" s="3"/>
      <c r="Y111" s="3"/>
      <c r="Z111" s="3"/>
    </row>
    <row r="112">
      <c r="A112" s="1" t="s">
        <v>86</v>
      </c>
      <c r="U112" s="3"/>
      <c r="V112" s="3"/>
      <c r="W112" s="3"/>
      <c r="X112" s="3"/>
      <c r="Y112" s="3"/>
      <c r="Z112" s="3"/>
    </row>
    <row r="113">
      <c r="A113" s="2"/>
      <c r="B113" s="4"/>
      <c r="C113" s="2"/>
      <c r="D113" s="2"/>
      <c r="E113" s="78"/>
      <c r="F113" s="98"/>
      <c r="G113" s="2"/>
      <c r="H113" s="2"/>
      <c r="I113" s="78"/>
      <c r="J113" s="2"/>
      <c r="K113" s="98"/>
      <c r="L113" s="98"/>
      <c r="M113" s="98"/>
      <c r="N113" s="2"/>
      <c r="O113" s="2"/>
      <c r="P113" s="2"/>
      <c r="Q113" s="2"/>
      <c r="R113" s="2"/>
      <c r="S113" s="2"/>
      <c r="T113" s="2"/>
      <c r="U113" s="3"/>
      <c r="V113" s="3"/>
      <c r="W113" s="3"/>
      <c r="X113" s="3"/>
      <c r="Y113" s="3"/>
      <c r="Z113" s="3"/>
    </row>
    <row r="114">
      <c r="A114" s="8" t="s">
        <v>2</v>
      </c>
      <c r="B114" s="9" t="s">
        <v>3</v>
      </c>
      <c r="C114" s="10"/>
      <c r="D114" s="11"/>
      <c r="E114" s="12" t="s">
        <v>4</v>
      </c>
      <c r="F114" s="10"/>
      <c r="G114" s="10"/>
      <c r="H114" s="10"/>
      <c r="I114" s="10"/>
      <c r="J114" s="10"/>
      <c r="K114" s="10"/>
      <c r="L114" s="10"/>
      <c r="M114" s="10"/>
      <c r="N114" s="11"/>
      <c r="O114" s="13" t="s">
        <v>5</v>
      </c>
      <c r="P114" s="10"/>
      <c r="Q114" s="10"/>
      <c r="R114" s="11"/>
      <c r="S114" s="14" t="s">
        <v>6</v>
      </c>
      <c r="T114" s="14" t="s">
        <v>7</v>
      </c>
      <c r="U114" s="3"/>
      <c r="V114" s="3"/>
      <c r="W114" s="3"/>
      <c r="X114" s="3"/>
      <c r="Y114" s="3"/>
      <c r="Z114" s="3"/>
    </row>
    <row r="115">
      <c r="A115" s="15"/>
      <c r="B115" s="16" t="s">
        <v>8</v>
      </c>
      <c r="C115" s="17" t="s">
        <v>9</v>
      </c>
      <c r="D115" s="14" t="s">
        <v>10</v>
      </c>
      <c r="E115" s="17" t="s">
        <v>11</v>
      </c>
      <c r="F115" s="18" t="s">
        <v>12</v>
      </c>
      <c r="G115" s="17" t="s">
        <v>13</v>
      </c>
      <c r="H115" s="17" t="s">
        <v>14</v>
      </c>
      <c r="I115" s="17" t="s">
        <v>15</v>
      </c>
      <c r="J115" s="17" t="s">
        <v>16</v>
      </c>
      <c r="K115" s="18" t="s">
        <v>17</v>
      </c>
      <c r="L115" s="18" t="s">
        <v>18</v>
      </c>
      <c r="M115" s="18" t="s">
        <v>19</v>
      </c>
      <c r="N115" s="14" t="s">
        <v>20</v>
      </c>
      <c r="O115" s="17" t="s">
        <v>21</v>
      </c>
      <c r="P115" s="17" t="s">
        <v>22</v>
      </c>
      <c r="Q115" s="17" t="s">
        <v>23</v>
      </c>
      <c r="R115" s="14" t="s">
        <v>24</v>
      </c>
      <c r="S115" s="19"/>
      <c r="T115" s="19"/>
      <c r="U115" s="3"/>
      <c r="V115" s="3"/>
      <c r="W115" s="3"/>
      <c r="X115" s="3"/>
      <c r="Y115" s="3"/>
      <c r="Z115" s="3"/>
    </row>
    <row r="116">
      <c r="A116" s="20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3"/>
      <c r="V116" s="3"/>
      <c r="W116" s="3"/>
      <c r="X116" s="3"/>
      <c r="Y116" s="3"/>
      <c r="Z116" s="3"/>
    </row>
    <row r="117">
      <c r="A117" s="100">
        <v>12.0</v>
      </c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3"/>
      <c r="V117" s="3"/>
      <c r="W117" s="3"/>
      <c r="X117" s="3"/>
      <c r="Y117" s="3"/>
      <c r="Z117" s="3"/>
    </row>
    <row r="118">
      <c r="A118" s="101" t="s">
        <v>476</v>
      </c>
      <c r="B118" s="24">
        <f t="shared" ref="B118:B131" si="19">300-U118</f>
        <v>300</v>
      </c>
      <c r="C118" s="25">
        <v>30.0</v>
      </c>
      <c r="D118" s="26">
        <f t="shared" ref="D118:D131" si="20">B118</f>
        <v>300</v>
      </c>
      <c r="E118" s="28"/>
      <c r="F118" s="73"/>
      <c r="G118" s="29"/>
      <c r="H118" s="29"/>
      <c r="I118" s="28"/>
      <c r="J118" s="29"/>
      <c r="K118" s="30"/>
      <c r="L118" s="30"/>
      <c r="M118" s="73"/>
      <c r="N118" s="26">
        <f t="shared" ref="N118:N131" si="21">SUM(E118:M118)</f>
        <v>0</v>
      </c>
      <c r="O118" s="29"/>
      <c r="P118" s="29"/>
      <c r="Q118" s="83">
        <v>2.0</v>
      </c>
      <c r="R118" s="31">
        <f t="shared" ref="R118:R131" si="22">SUM(O118:Q118)</f>
        <v>2</v>
      </c>
      <c r="S118" s="32">
        <f t="shared" ref="S118:S131" si="23">D118-N118+R118</f>
        <v>302</v>
      </c>
      <c r="T118" s="33">
        <f t="shared" ref="T118:T131" si="24">RANK(S118,$S$118:$S$131,0)</f>
        <v>1</v>
      </c>
      <c r="U118" s="76">
        <v>0.0</v>
      </c>
      <c r="V118" s="3"/>
      <c r="W118" s="3"/>
      <c r="X118" s="3"/>
      <c r="Y118" s="3"/>
      <c r="Z118" s="3"/>
    </row>
    <row r="119">
      <c r="A119" s="102" t="s">
        <v>477</v>
      </c>
      <c r="B119" s="24">
        <f t="shared" si="19"/>
        <v>299</v>
      </c>
      <c r="C119" s="36">
        <v>30.0</v>
      </c>
      <c r="D119" s="37">
        <f t="shared" si="20"/>
        <v>299</v>
      </c>
      <c r="E119" s="39"/>
      <c r="F119" s="41">
        <v>0.5</v>
      </c>
      <c r="G119" s="40"/>
      <c r="H119" s="40"/>
      <c r="I119" s="39">
        <v>1.0</v>
      </c>
      <c r="J119" s="40"/>
      <c r="K119" s="44"/>
      <c r="L119" s="44"/>
      <c r="M119" s="41">
        <v>1.0</v>
      </c>
      <c r="N119" s="37">
        <f t="shared" si="21"/>
        <v>2.5</v>
      </c>
      <c r="O119" s="40"/>
      <c r="P119" s="40"/>
      <c r="Q119" s="67">
        <v>2.0</v>
      </c>
      <c r="R119" s="42">
        <f t="shared" si="22"/>
        <v>2</v>
      </c>
      <c r="S119" s="43">
        <f t="shared" si="23"/>
        <v>298.5</v>
      </c>
      <c r="T119" s="33">
        <f t="shared" si="24"/>
        <v>10</v>
      </c>
      <c r="U119" s="76">
        <v>1.0</v>
      </c>
      <c r="V119" s="3"/>
      <c r="W119" s="3"/>
      <c r="X119" s="3"/>
      <c r="Y119" s="3"/>
      <c r="Z119" s="3"/>
    </row>
    <row r="120">
      <c r="A120" s="102" t="s">
        <v>478</v>
      </c>
      <c r="B120" s="24">
        <f t="shared" si="19"/>
        <v>300</v>
      </c>
      <c r="C120" s="36">
        <v>30.0</v>
      </c>
      <c r="D120" s="37">
        <f t="shared" si="20"/>
        <v>300</v>
      </c>
      <c r="E120" s="39">
        <v>1.5</v>
      </c>
      <c r="F120" s="41">
        <v>0.5</v>
      </c>
      <c r="G120" s="40"/>
      <c r="H120" s="40"/>
      <c r="I120" s="39">
        <v>0.5</v>
      </c>
      <c r="J120" s="40"/>
      <c r="K120" s="44"/>
      <c r="L120" s="41"/>
      <c r="M120" s="44"/>
      <c r="N120" s="37">
        <f t="shared" si="21"/>
        <v>2.5</v>
      </c>
      <c r="O120" s="40"/>
      <c r="P120" s="40"/>
      <c r="Q120" s="67">
        <v>2.0</v>
      </c>
      <c r="R120" s="42">
        <f t="shared" si="22"/>
        <v>2</v>
      </c>
      <c r="S120" s="45">
        <f t="shared" si="23"/>
        <v>299.5</v>
      </c>
      <c r="T120" s="33">
        <f t="shared" si="24"/>
        <v>7</v>
      </c>
      <c r="U120" s="76">
        <v>0.0</v>
      </c>
      <c r="V120" s="3"/>
      <c r="W120" s="3"/>
      <c r="X120" s="3"/>
      <c r="Y120" s="3"/>
      <c r="Z120" s="3"/>
    </row>
    <row r="121">
      <c r="A121" s="102" t="s">
        <v>479</v>
      </c>
      <c r="B121" s="24">
        <f t="shared" si="19"/>
        <v>300</v>
      </c>
      <c r="C121" s="36">
        <v>30.0</v>
      </c>
      <c r="D121" s="37">
        <f t="shared" si="20"/>
        <v>300</v>
      </c>
      <c r="E121" s="39"/>
      <c r="F121" s="41"/>
      <c r="G121" s="40"/>
      <c r="H121" s="40"/>
      <c r="I121" s="39"/>
      <c r="J121" s="40"/>
      <c r="K121" s="44"/>
      <c r="L121" s="44"/>
      <c r="M121" s="41">
        <v>0.5</v>
      </c>
      <c r="N121" s="37">
        <f t="shared" si="21"/>
        <v>0.5</v>
      </c>
      <c r="O121" s="40"/>
      <c r="P121" s="40"/>
      <c r="Q121" s="67">
        <v>2.0</v>
      </c>
      <c r="R121" s="42">
        <f t="shared" si="22"/>
        <v>2</v>
      </c>
      <c r="S121" s="45">
        <f t="shared" si="23"/>
        <v>301.5</v>
      </c>
      <c r="T121" s="33">
        <f t="shared" si="24"/>
        <v>2</v>
      </c>
      <c r="U121" s="76">
        <v>0.0</v>
      </c>
      <c r="V121" s="3"/>
      <c r="W121" s="3"/>
      <c r="X121" s="3"/>
      <c r="Y121" s="3"/>
      <c r="Z121" s="3"/>
    </row>
    <row r="122">
      <c r="A122" s="102" t="s">
        <v>480</v>
      </c>
      <c r="B122" s="24">
        <f t="shared" si="19"/>
        <v>300</v>
      </c>
      <c r="C122" s="36">
        <v>30.0</v>
      </c>
      <c r="D122" s="37">
        <f t="shared" si="20"/>
        <v>300</v>
      </c>
      <c r="E122" s="38"/>
      <c r="F122" s="41"/>
      <c r="G122" s="40"/>
      <c r="H122" s="40"/>
      <c r="I122" s="39">
        <v>2.0</v>
      </c>
      <c r="J122" s="40"/>
      <c r="K122" s="44"/>
      <c r="L122" s="44"/>
      <c r="M122" s="41"/>
      <c r="N122" s="37">
        <f t="shared" si="21"/>
        <v>2</v>
      </c>
      <c r="O122" s="40"/>
      <c r="P122" s="40"/>
      <c r="Q122" s="67">
        <v>2.0</v>
      </c>
      <c r="R122" s="42">
        <f t="shared" si="22"/>
        <v>2</v>
      </c>
      <c r="S122" s="45">
        <f t="shared" si="23"/>
        <v>300</v>
      </c>
      <c r="T122" s="33">
        <f t="shared" si="24"/>
        <v>6</v>
      </c>
      <c r="U122" s="76">
        <v>0.0</v>
      </c>
      <c r="V122" s="3"/>
      <c r="W122" s="3"/>
      <c r="X122" s="3"/>
      <c r="Y122" s="3"/>
      <c r="Z122" s="3"/>
    </row>
    <row r="123">
      <c r="A123" s="102" t="s">
        <v>481</v>
      </c>
      <c r="B123" s="24">
        <f t="shared" si="19"/>
        <v>300</v>
      </c>
      <c r="C123" s="36">
        <v>30.0</v>
      </c>
      <c r="D123" s="37">
        <f t="shared" si="20"/>
        <v>300</v>
      </c>
      <c r="E123" s="39">
        <v>3.0</v>
      </c>
      <c r="F123" s="41"/>
      <c r="G123" s="40"/>
      <c r="H123" s="40"/>
      <c r="I123" s="39">
        <v>1.5</v>
      </c>
      <c r="J123" s="40"/>
      <c r="K123" s="44"/>
      <c r="L123" s="41"/>
      <c r="M123" s="41"/>
      <c r="N123" s="37">
        <f t="shared" si="21"/>
        <v>4.5</v>
      </c>
      <c r="O123" s="40"/>
      <c r="P123" s="40"/>
      <c r="Q123" s="67">
        <v>2.0</v>
      </c>
      <c r="R123" s="42">
        <f t="shared" si="22"/>
        <v>2</v>
      </c>
      <c r="S123" s="45">
        <f t="shared" si="23"/>
        <v>297.5</v>
      </c>
      <c r="T123" s="33">
        <f t="shared" si="24"/>
        <v>11</v>
      </c>
      <c r="U123" s="76">
        <v>0.0</v>
      </c>
      <c r="V123" s="3"/>
      <c r="W123" s="3"/>
      <c r="X123" s="3"/>
      <c r="Y123" s="3"/>
      <c r="Z123" s="3"/>
    </row>
    <row r="124">
      <c r="A124" s="102" t="s">
        <v>482</v>
      </c>
      <c r="B124" s="24">
        <f t="shared" si="19"/>
        <v>299</v>
      </c>
      <c r="C124" s="36">
        <v>30.0</v>
      </c>
      <c r="D124" s="37">
        <f t="shared" si="20"/>
        <v>299</v>
      </c>
      <c r="E124" s="38"/>
      <c r="F124" s="41"/>
      <c r="G124" s="40"/>
      <c r="H124" s="40"/>
      <c r="I124" s="39">
        <v>4.0</v>
      </c>
      <c r="J124" s="38"/>
      <c r="K124" s="44"/>
      <c r="L124" s="44"/>
      <c r="M124" s="41">
        <v>2.0</v>
      </c>
      <c r="N124" s="37">
        <f t="shared" si="21"/>
        <v>6</v>
      </c>
      <c r="O124" s="40"/>
      <c r="P124" s="40"/>
      <c r="Q124" s="67">
        <v>2.0</v>
      </c>
      <c r="R124" s="42">
        <f t="shared" si="22"/>
        <v>2</v>
      </c>
      <c r="S124" s="45">
        <f t="shared" si="23"/>
        <v>295</v>
      </c>
      <c r="T124" s="33">
        <f t="shared" si="24"/>
        <v>13</v>
      </c>
      <c r="U124" s="76">
        <v>1.0</v>
      </c>
      <c r="V124" s="3"/>
      <c r="W124" s="3"/>
      <c r="X124" s="3"/>
      <c r="Y124" s="3"/>
      <c r="Z124" s="3"/>
    </row>
    <row r="125">
      <c r="A125" s="102" t="s">
        <v>483</v>
      </c>
      <c r="B125" s="24">
        <f t="shared" si="19"/>
        <v>300</v>
      </c>
      <c r="C125" s="36">
        <v>30.0</v>
      </c>
      <c r="D125" s="37">
        <f t="shared" si="20"/>
        <v>300</v>
      </c>
      <c r="E125" s="39">
        <v>3.0</v>
      </c>
      <c r="F125" s="41"/>
      <c r="G125" s="40"/>
      <c r="H125" s="40"/>
      <c r="I125" s="39">
        <v>5.5</v>
      </c>
      <c r="J125" s="40"/>
      <c r="K125" s="44"/>
      <c r="L125" s="41"/>
      <c r="M125" s="41">
        <v>0.5</v>
      </c>
      <c r="N125" s="37">
        <f t="shared" si="21"/>
        <v>9</v>
      </c>
      <c r="O125" s="40"/>
      <c r="P125" s="40"/>
      <c r="Q125" s="67">
        <v>2.0</v>
      </c>
      <c r="R125" s="42">
        <f t="shared" si="22"/>
        <v>2</v>
      </c>
      <c r="S125" s="47">
        <f t="shared" si="23"/>
        <v>293</v>
      </c>
      <c r="T125" s="33">
        <f t="shared" si="24"/>
        <v>14</v>
      </c>
      <c r="U125" s="76">
        <v>0.0</v>
      </c>
      <c r="V125" s="3"/>
      <c r="W125" s="3"/>
      <c r="X125" s="3"/>
      <c r="Y125" s="3"/>
      <c r="Z125" s="3"/>
    </row>
    <row r="126">
      <c r="A126" s="102" t="s">
        <v>484</v>
      </c>
      <c r="B126" s="24">
        <f t="shared" si="19"/>
        <v>300</v>
      </c>
      <c r="C126" s="36">
        <v>30.0</v>
      </c>
      <c r="D126" s="37">
        <f t="shared" si="20"/>
        <v>300</v>
      </c>
      <c r="E126" s="39"/>
      <c r="F126" s="41">
        <v>0.5</v>
      </c>
      <c r="G126" s="40"/>
      <c r="H126" s="40"/>
      <c r="I126" s="39">
        <v>1.5</v>
      </c>
      <c r="J126" s="38"/>
      <c r="K126" s="44"/>
      <c r="L126" s="44"/>
      <c r="M126" s="41">
        <v>0.5</v>
      </c>
      <c r="N126" s="37">
        <f t="shared" si="21"/>
        <v>2.5</v>
      </c>
      <c r="O126" s="40"/>
      <c r="P126" s="40"/>
      <c r="Q126" s="67">
        <v>2.0</v>
      </c>
      <c r="R126" s="42">
        <f t="shared" si="22"/>
        <v>2</v>
      </c>
      <c r="S126" s="47">
        <f t="shared" si="23"/>
        <v>299.5</v>
      </c>
      <c r="T126" s="33">
        <f t="shared" si="24"/>
        <v>7</v>
      </c>
      <c r="U126" s="76">
        <v>0.0</v>
      </c>
      <c r="V126" s="3"/>
      <c r="W126" s="3"/>
      <c r="X126" s="3"/>
      <c r="Y126" s="3"/>
      <c r="Z126" s="3"/>
    </row>
    <row r="127">
      <c r="A127" s="102" t="s">
        <v>485</v>
      </c>
      <c r="B127" s="24">
        <f t="shared" si="19"/>
        <v>300</v>
      </c>
      <c r="C127" s="36">
        <v>30.0</v>
      </c>
      <c r="D127" s="37">
        <f t="shared" si="20"/>
        <v>300</v>
      </c>
      <c r="E127" s="38"/>
      <c r="F127" s="44"/>
      <c r="G127" s="40"/>
      <c r="H127" s="40"/>
      <c r="I127" s="39">
        <v>2.5</v>
      </c>
      <c r="J127" s="40"/>
      <c r="K127" s="41"/>
      <c r="L127" s="44"/>
      <c r="M127" s="41"/>
      <c r="N127" s="37">
        <f t="shared" si="21"/>
        <v>2.5</v>
      </c>
      <c r="O127" s="40"/>
      <c r="P127" s="40"/>
      <c r="Q127" s="67">
        <v>3.0</v>
      </c>
      <c r="R127" s="42">
        <f t="shared" si="22"/>
        <v>3</v>
      </c>
      <c r="S127" s="43">
        <f t="shared" si="23"/>
        <v>300.5</v>
      </c>
      <c r="T127" s="33">
        <f t="shared" si="24"/>
        <v>5</v>
      </c>
      <c r="U127" s="65">
        <v>0.0</v>
      </c>
      <c r="V127" s="3"/>
      <c r="W127" s="3"/>
      <c r="X127" s="3"/>
      <c r="Y127" s="3"/>
      <c r="Z127" s="3"/>
    </row>
    <row r="128">
      <c r="A128" s="102" t="s">
        <v>486</v>
      </c>
      <c r="B128" s="24">
        <f t="shared" si="19"/>
        <v>300</v>
      </c>
      <c r="C128" s="36">
        <v>30.0</v>
      </c>
      <c r="D128" s="37">
        <f t="shared" si="20"/>
        <v>300</v>
      </c>
      <c r="E128" s="39">
        <v>1.5</v>
      </c>
      <c r="F128" s="41">
        <v>0.5</v>
      </c>
      <c r="G128" s="40"/>
      <c r="H128" s="40"/>
      <c r="I128" s="39">
        <v>1.0</v>
      </c>
      <c r="J128" s="40"/>
      <c r="K128" s="44"/>
      <c r="L128" s="44"/>
      <c r="M128" s="41">
        <v>0.5</v>
      </c>
      <c r="N128" s="37">
        <f t="shared" si="21"/>
        <v>3.5</v>
      </c>
      <c r="O128" s="40"/>
      <c r="P128" s="40"/>
      <c r="Q128" s="67">
        <v>1.0</v>
      </c>
      <c r="R128" s="42">
        <f t="shared" si="22"/>
        <v>1</v>
      </c>
      <c r="S128" s="45">
        <f t="shared" si="23"/>
        <v>297.5</v>
      </c>
      <c r="T128" s="33">
        <f t="shared" si="24"/>
        <v>11</v>
      </c>
      <c r="U128" s="76">
        <v>0.0</v>
      </c>
      <c r="V128" s="3"/>
      <c r="W128" s="3"/>
      <c r="X128" s="3"/>
      <c r="Y128" s="3"/>
      <c r="Z128" s="3"/>
    </row>
    <row r="129">
      <c r="A129" s="102" t="s">
        <v>487</v>
      </c>
      <c r="B129" s="24">
        <f t="shared" si="19"/>
        <v>300</v>
      </c>
      <c r="C129" s="36">
        <v>30.0</v>
      </c>
      <c r="D129" s="37">
        <f t="shared" si="20"/>
        <v>300</v>
      </c>
      <c r="E129" s="38"/>
      <c r="F129" s="44"/>
      <c r="G129" s="40"/>
      <c r="H129" s="40"/>
      <c r="I129" s="39">
        <v>3.0</v>
      </c>
      <c r="J129" s="40"/>
      <c r="K129" s="44"/>
      <c r="L129" s="44"/>
      <c r="M129" s="44"/>
      <c r="N129" s="37">
        <f t="shared" si="21"/>
        <v>3</v>
      </c>
      <c r="O129" s="40"/>
      <c r="P129" s="40"/>
      <c r="Q129" s="67">
        <v>2.0</v>
      </c>
      <c r="R129" s="42">
        <f t="shared" si="22"/>
        <v>2</v>
      </c>
      <c r="S129" s="45">
        <f t="shared" si="23"/>
        <v>299</v>
      </c>
      <c r="T129" s="33">
        <f t="shared" si="24"/>
        <v>9</v>
      </c>
      <c r="U129" s="76">
        <v>0.0</v>
      </c>
      <c r="V129" s="3"/>
      <c r="W129" s="3"/>
      <c r="X129" s="3"/>
      <c r="Y129" s="3"/>
      <c r="Z129" s="3"/>
    </row>
    <row r="130">
      <c r="A130" s="102" t="s">
        <v>488</v>
      </c>
      <c r="B130" s="24">
        <f t="shared" si="19"/>
        <v>300</v>
      </c>
      <c r="C130" s="36">
        <v>30.0</v>
      </c>
      <c r="D130" s="37">
        <f t="shared" si="20"/>
        <v>300</v>
      </c>
      <c r="E130" s="38"/>
      <c r="F130" s="41"/>
      <c r="G130" s="40"/>
      <c r="H130" s="40"/>
      <c r="I130" s="39">
        <v>1.0</v>
      </c>
      <c r="J130" s="40"/>
      <c r="K130" s="44"/>
      <c r="L130" s="44"/>
      <c r="M130" s="41">
        <v>1.0</v>
      </c>
      <c r="N130" s="37">
        <f t="shared" si="21"/>
        <v>2</v>
      </c>
      <c r="O130" s="40"/>
      <c r="P130" s="40"/>
      <c r="Q130" s="67">
        <v>3.0</v>
      </c>
      <c r="R130" s="42">
        <f t="shared" si="22"/>
        <v>3</v>
      </c>
      <c r="S130" s="47">
        <f t="shared" si="23"/>
        <v>301</v>
      </c>
      <c r="T130" s="33">
        <f t="shared" si="24"/>
        <v>4</v>
      </c>
      <c r="U130" s="76">
        <v>0.0</v>
      </c>
      <c r="V130" s="3"/>
      <c r="W130" s="3"/>
      <c r="X130" s="3"/>
      <c r="Y130" s="3"/>
      <c r="Z130" s="3"/>
    </row>
    <row r="131">
      <c r="A131" s="103" t="s">
        <v>489</v>
      </c>
      <c r="B131" s="49">
        <f t="shared" si="19"/>
        <v>300</v>
      </c>
      <c r="C131" s="50">
        <v>30.0</v>
      </c>
      <c r="D131" s="51">
        <f t="shared" si="20"/>
        <v>300</v>
      </c>
      <c r="E131" s="68"/>
      <c r="F131" s="74"/>
      <c r="G131" s="53"/>
      <c r="H131" s="53"/>
      <c r="I131" s="68"/>
      <c r="J131" s="52"/>
      <c r="K131" s="54"/>
      <c r="L131" s="54"/>
      <c r="M131" s="74">
        <v>0.5</v>
      </c>
      <c r="N131" s="51">
        <f t="shared" si="21"/>
        <v>0.5</v>
      </c>
      <c r="O131" s="53"/>
      <c r="P131" s="53"/>
      <c r="Q131" s="69">
        <v>2.0</v>
      </c>
      <c r="R131" s="56">
        <f t="shared" si="22"/>
        <v>2</v>
      </c>
      <c r="S131" s="57">
        <f t="shared" si="23"/>
        <v>301.5</v>
      </c>
      <c r="T131" s="58">
        <f t="shared" si="24"/>
        <v>2</v>
      </c>
      <c r="U131" s="76">
        <v>0.0</v>
      </c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124"/>
      <c r="F132" s="104"/>
      <c r="G132" s="3"/>
      <c r="H132" s="3"/>
      <c r="I132" s="124"/>
      <c r="J132" s="3"/>
      <c r="K132" s="104"/>
      <c r="L132" s="104"/>
      <c r="M132" s="104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63"/>
      <c r="B133" s="63" t="s">
        <v>490</v>
      </c>
      <c r="C133" s="3"/>
      <c r="D133" s="3"/>
      <c r="E133" s="124"/>
      <c r="F133" s="104"/>
      <c r="G133" s="63"/>
      <c r="H133" s="3"/>
      <c r="I133" s="124"/>
      <c r="J133" s="62" t="s">
        <v>540</v>
      </c>
      <c r="K133" s="104"/>
      <c r="L133" s="105"/>
      <c r="M133" s="104"/>
      <c r="N133" s="62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65" t="s">
        <v>541</v>
      </c>
      <c r="C134" s="3"/>
      <c r="D134" s="3"/>
      <c r="E134" s="124"/>
      <c r="F134" s="104"/>
      <c r="G134" s="63"/>
      <c r="H134" s="3"/>
      <c r="I134" s="124"/>
      <c r="J134" s="62" t="s">
        <v>542</v>
      </c>
      <c r="K134" s="104"/>
      <c r="L134" s="107"/>
      <c r="M134" s="125"/>
      <c r="N134" s="76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65" t="s">
        <v>543</v>
      </c>
      <c r="C135" s="3"/>
      <c r="D135" s="3"/>
      <c r="E135" s="124"/>
      <c r="F135" s="104"/>
      <c r="G135" s="63"/>
      <c r="H135" s="3"/>
      <c r="I135" s="124"/>
      <c r="J135" s="63" t="s">
        <v>544</v>
      </c>
      <c r="K135" s="104"/>
      <c r="L135" s="107"/>
      <c r="M135" s="125"/>
      <c r="N135" s="76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65" t="s">
        <v>545</v>
      </c>
      <c r="C136" s="3"/>
      <c r="D136" s="3"/>
      <c r="E136" s="124"/>
      <c r="F136" s="104"/>
      <c r="G136" s="63"/>
      <c r="H136" s="3"/>
      <c r="I136" s="124"/>
      <c r="J136" s="3"/>
      <c r="K136" s="104"/>
      <c r="L136" s="107"/>
      <c r="M136" s="125"/>
      <c r="N136" s="76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65" t="s">
        <v>546</v>
      </c>
      <c r="C137" s="3"/>
      <c r="D137" s="3"/>
      <c r="E137" s="124"/>
      <c r="F137" s="104"/>
      <c r="G137" s="62"/>
      <c r="H137" s="3"/>
      <c r="I137" s="124"/>
      <c r="J137" s="3"/>
      <c r="K137" s="104"/>
      <c r="L137" s="104"/>
      <c r="M137" s="75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65" t="s">
        <v>547</v>
      </c>
      <c r="C138" s="3"/>
      <c r="D138" s="3"/>
      <c r="E138" s="124"/>
      <c r="F138" s="104"/>
      <c r="G138" s="3"/>
      <c r="H138" s="3"/>
      <c r="I138" s="124"/>
      <c r="J138" s="3"/>
      <c r="K138" s="104"/>
      <c r="L138" s="104"/>
      <c r="M138" s="125"/>
      <c r="N138" s="3"/>
      <c r="O138" s="92" t="s">
        <v>97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65" t="s">
        <v>548</v>
      </c>
      <c r="C139" s="3"/>
      <c r="D139" s="3"/>
      <c r="E139" s="124"/>
      <c r="F139" s="104"/>
      <c r="G139" s="3"/>
      <c r="H139" s="3"/>
      <c r="I139" s="124"/>
      <c r="J139" s="3"/>
      <c r="K139" s="104"/>
      <c r="L139" s="104"/>
      <c r="M139" s="125"/>
      <c r="N139" s="3"/>
      <c r="O139" s="64" t="s">
        <v>549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65" t="s">
        <v>550</v>
      </c>
      <c r="C140" s="3"/>
      <c r="D140" s="3"/>
      <c r="E140" s="124"/>
      <c r="F140" s="104"/>
      <c r="G140" s="3"/>
      <c r="H140" s="3"/>
      <c r="I140" s="124"/>
      <c r="J140" s="3"/>
      <c r="K140" s="104"/>
      <c r="L140" s="104"/>
      <c r="M140" s="125"/>
      <c r="N140" s="3"/>
      <c r="O140" s="92" t="s">
        <v>108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65" t="s">
        <v>551</v>
      </c>
      <c r="C141" s="3"/>
      <c r="D141" s="3"/>
      <c r="E141" s="124"/>
      <c r="F141" s="104"/>
      <c r="G141" s="3"/>
      <c r="H141" s="3"/>
      <c r="I141" s="124"/>
      <c r="J141" s="3"/>
      <c r="K141" s="104"/>
      <c r="L141" s="104"/>
      <c r="M141" s="125"/>
      <c r="N141" s="3"/>
      <c r="O141" s="64" t="s">
        <v>552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65" t="s">
        <v>553</v>
      </c>
      <c r="C142" s="3"/>
      <c r="D142" s="3"/>
      <c r="E142" s="124"/>
      <c r="F142" s="104"/>
      <c r="G142" s="3"/>
      <c r="H142" s="3"/>
      <c r="I142" s="124"/>
      <c r="J142" s="3"/>
      <c r="K142" s="104"/>
      <c r="L142" s="104"/>
      <c r="M142" s="125"/>
      <c r="N142" s="3"/>
      <c r="O142" s="63" t="s">
        <v>554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65" t="s">
        <v>555</v>
      </c>
      <c r="C143" s="3"/>
      <c r="D143" s="3"/>
      <c r="E143" s="124"/>
      <c r="F143" s="104"/>
      <c r="G143" s="3"/>
      <c r="H143" s="3"/>
      <c r="I143" s="124"/>
      <c r="J143" s="3"/>
      <c r="K143" s="104"/>
      <c r="L143" s="104"/>
      <c r="M143" s="125"/>
      <c r="N143" s="3"/>
      <c r="O143" s="65" t="s">
        <v>556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65" t="s">
        <v>557</v>
      </c>
      <c r="C144" s="3"/>
      <c r="D144" s="3"/>
      <c r="E144" s="124"/>
      <c r="F144" s="104"/>
      <c r="G144" s="3"/>
      <c r="H144" s="3"/>
      <c r="I144" s="124"/>
      <c r="J144" s="3"/>
      <c r="K144" s="104"/>
      <c r="L144" s="104"/>
      <c r="M144" s="125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65" t="s">
        <v>558</v>
      </c>
      <c r="C145" s="3"/>
      <c r="D145" s="3"/>
      <c r="E145" s="124"/>
      <c r="F145" s="104"/>
      <c r="G145" s="3"/>
      <c r="H145" s="3"/>
      <c r="I145" s="124"/>
      <c r="J145" s="3"/>
      <c r="K145" s="104"/>
      <c r="L145" s="104"/>
      <c r="M145" s="107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124"/>
      <c r="F146" s="104"/>
      <c r="G146" s="3"/>
      <c r="H146" s="3"/>
      <c r="I146" s="124"/>
      <c r="J146" s="3"/>
      <c r="K146" s="104"/>
      <c r="L146" s="104"/>
      <c r="M146" s="104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124"/>
      <c r="F147" s="104"/>
      <c r="G147" s="3"/>
      <c r="H147" s="3"/>
      <c r="I147" s="124"/>
      <c r="J147" s="3"/>
      <c r="K147" s="104"/>
      <c r="L147" s="104"/>
      <c r="M147" s="104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124"/>
      <c r="F148" s="104"/>
      <c r="G148" s="3"/>
      <c r="H148" s="3"/>
      <c r="I148" s="124"/>
      <c r="J148" s="3"/>
      <c r="K148" s="104"/>
      <c r="L148" s="104"/>
      <c r="M148" s="104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" t="s">
        <v>559</v>
      </c>
      <c r="U149" s="3"/>
      <c r="V149" s="3"/>
      <c r="W149" s="3"/>
      <c r="X149" s="3"/>
      <c r="Y149" s="3"/>
      <c r="Z149" s="3"/>
    </row>
    <row r="150">
      <c r="A150" s="1" t="s">
        <v>104</v>
      </c>
      <c r="U150" s="3"/>
      <c r="V150" s="3"/>
      <c r="W150" s="3"/>
      <c r="X150" s="3"/>
      <c r="Y150" s="3"/>
      <c r="Z150" s="3"/>
    </row>
    <row r="151">
      <c r="A151" s="2"/>
      <c r="B151" s="4"/>
      <c r="C151" s="2"/>
      <c r="D151" s="2"/>
      <c r="E151" s="78"/>
      <c r="F151" s="98"/>
      <c r="G151" s="2"/>
      <c r="H151" s="2"/>
      <c r="I151" s="78"/>
      <c r="J151" s="2"/>
      <c r="K151" s="98"/>
      <c r="L151" s="98"/>
      <c r="M151" s="98"/>
      <c r="N151" s="2"/>
      <c r="O151" s="2"/>
      <c r="P151" s="2"/>
      <c r="Q151" s="2"/>
      <c r="R151" s="2"/>
      <c r="S151" s="2"/>
      <c r="T151" s="2"/>
      <c r="U151" s="3"/>
      <c r="V151" s="3"/>
      <c r="W151" s="3"/>
      <c r="X151" s="3"/>
      <c r="Y151" s="3"/>
      <c r="Z151" s="3"/>
    </row>
    <row r="152">
      <c r="A152" s="8" t="s">
        <v>2</v>
      </c>
      <c r="B152" s="9" t="s">
        <v>3</v>
      </c>
      <c r="C152" s="10"/>
      <c r="D152" s="11"/>
      <c r="E152" s="12" t="s">
        <v>4</v>
      </c>
      <c r="F152" s="10"/>
      <c r="G152" s="10"/>
      <c r="H152" s="10"/>
      <c r="I152" s="10"/>
      <c r="J152" s="10"/>
      <c r="K152" s="10"/>
      <c r="L152" s="10"/>
      <c r="M152" s="10"/>
      <c r="N152" s="11"/>
      <c r="O152" s="13" t="s">
        <v>5</v>
      </c>
      <c r="P152" s="10"/>
      <c r="Q152" s="10"/>
      <c r="R152" s="11"/>
      <c r="S152" s="14" t="s">
        <v>6</v>
      </c>
      <c r="T152" s="14" t="s">
        <v>7</v>
      </c>
      <c r="U152" s="3"/>
      <c r="V152" s="3"/>
      <c r="W152" s="3"/>
      <c r="X152" s="3"/>
      <c r="Y152" s="3"/>
      <c r="Z152" s="3"/>
    </row>
    <row r="153">
      <c r="A153" s="15"/>
      <c r="B153" s="16" t="s">
        <v>8</v>
      </c>
      <c r="C153" s="17" t="s">
        <v>9</v>
      </c>
      <c r="D153" s="14" t="s">
        <v>10</v>
      </c>
      <c r="E153" s="17" t="s">
        <v>11</v>
      </c>
      <c r="F153" s="18" t="s">
        <v>12</v>
      </c>
      <c r="G153" s="17" t="s">
        <v>13</v>
      </c>
      <c r="H153" s="17" t="s">
        <v>14</v>
      </c>
      <c r="I153" s="17" t="s">
        <v>15</v>
      </c>
      <c r="J153" s="17" t="s">
        <v>16</v>
      </c>
      <c r="K153" s="18" t="s">
        <v>17</v>
      </c>
      <c r="L153" s="18" t="s">
        <v>18</v>
      </c>
      <c r="M153" s="18" t="s">
        <v>19</v>
      </c>
      <c r="N153" s="14" t="s">
        <v>20</v>
      </c>
      <c r="O153" s="17" t="s">
        <v>21</v>
      </c>
      <c r="P153" s="17" t="s">
        <v>22</v>
      </c>
      <c r="Q153" s="17" t="s">
        <v>23</v>
      </c>
      <c r="R153" s="14" t="s">
        <v>24</v>
      </c>
      <c r="S153" s="19"/>
      <c r="T153" s="19"/>
      <c r="U153" s="3"/>
      <c r="V153" s="3"/>
      <c r="W153" s="3"/>
      <c r="X153" s="3"/>
      <c r="Y153" s="3"/>
      <c r="Z153" s="3"/>
    </row>
    <row r="154">
      <c r="A154" s="20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3"/>
      <c r="V154" s="3"/>
      <c r="W154" s="3"/>
      <c r="X154" s="3"/>
      <c r="Y154" s="3"/>
      <c r="Z154" s="3"/>
    </row>
    <row r="155">
      <c r="A155" s="100">
        <v>12.0</v>
      </c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3"/>
      <c r="V155" s="3"/>
      <c r="W155" s="3"/>
      <c r="X155" s="3"/>
      <c r="Y155" s="3"/>
      <c r="Z155" s="3"/>
    </row>
    <row r="156">
      <c r="A156" s="101" t="s">
        <v>476</v>
      </c>
      <c r="B156" s="24">
        <f t="shared" ref="B156:B169" si="25">300-U156</f>
        <v>300</v>
      </c>
      <c r="C156" s="25">
        <v>30.0</v>
      </c>
      <c r="D156" s="26">
        <f t="shared" ref="D156:D169" si="26">B156</f>
        <v>300</v>
      </c>
      <c r="E156" s="28"/>
      <c r="F156" s="73"/>
      <c r="G156" s="29"/>
      <c r="H156" s="29"/>
      <c r="I156" s="28"/>
      <c r="J156" s="29"/>
      <c r="K156" s="30"/>
      <c r="L156" s="30"/>
      <c r="M156" s="73"/>
      <c r="N156" s="26">
        <f t="shared" ref="N156:N169" si="27">SUM(E156:M156)</f>
        <v>0</v>
      </c>
      <c r="O156" s="29"/>
      <c r="P156" s="29"/>
      <c r="Q156" s="83">
        <v>1.0</v>
      </c>
      <c r="R156" s="31">
        <f t="shared" ref="R156:R169" si="28">SUM(O156:Q156)</f>
        <v>1</v>
      </c>
      <c r="S156" s="32">
        <f t="shared" ref="S156:S169" si="29">D156-N156+R156</f>
        <v>301</v>
      </c>
      <c r="T156" s="33">
        <f t="shared" ref="T156:T169" si="30">RANK(S156,$S$156:$S$169,0)</f>
        <v>1</v>
      </c>
      <c r="U156" s="76">
        <v>0.0</v>
      </c>
      <c r="V156" s="3"/>
      <c r="W156" s="3"/>
      <c r="X156" s="3"/>
      <c r="Y156" s="3"/>
      <c r="Z156" s="3"/>
    </row>
    <row r="157">
      <c r="A157" s="102" t="s">
        <v>477</v>
      </c>
      <c r="B157" s="24">
        <f t="shared" si="25"/>
        <v>300</v>
      </c>
      <c r="C157" s="36">
        <v>30.0</v>
      </c>
      <c r="D157" s="37">
        <f t="shared" si="26"/>
        <v>300</v>
      </c>
      <c r="E157" s="39"/>
      <c r="F157" s="41">
        <v>0.5</v>
      </c>
      <c r="G157" s="40"/>
      <c r="H157" s="40"/>
      <c r="I157" s="39"/>
      <c r="J157" s="40"/>
      <c r="K157" s="44"/>
      <c r="L157" s="41">
        <v>0.5</v>
      </c>
      <c r="M157" s="41">
        <v>1.5</v>
      </c>
      <c r="N157" s="37">
        <f t="shared" si="27"/>
        <v>2.5</v>
      </c>
      <c r="O157" s="40"/>
      <c r="P157" s="40"/>
      <c r="Q157" s="67"/>
      <c r="R157" s="42">
        <f t="shared" si="28"/>
        <v>0</v>
      </c>
      <c r="S157" s="43">
        <f t="shared" si="29"/>
        <v>297.5</v>
      </c>
      <c r="T157" s="33">
        <f t="shared" si="30"/>
        <v>14</v>
      </c>
      <c r="U157" s="76"/>
      <c r="V157" s="3"/>
      <c r="W157" s="3"/>
      <c r="X157" s="3"/>
      <c r="Y157" s="3"/>
      <c r="Z157" s="3"/>
    </row>
    <row r="158">
      <c r="A158" s="102" t="s">
        <v>478</v>
      </c>
      <c r="B158" s="24">
        <f t="shared" si="25"/>
        <v>300</v>
      </c>
      <c r="C158" s="36">
        <v>30.0</v>
      </c>
      <c r="D158" s="37">
        <f t="shared" si="26"/>
        <v>300</v>
      </c>
      <c r="E158" s="39"/>
      <c r="F158" s="41">
        <v>1.0</v>
      </c>
      <c r="G158" s="40"/>
      <c r="H158" s="40"/>
      <c r="I158" s="39"/>
      <c r="J158" s="40"/>
      <c r="K158" s="44"/>
      <c r="L158" s="41"/>
      <c r="M158" s="44"/>
      <c r="N158" s="37">
        <f t="shared" si="27"/>
        <v>1</v>
      </c>
      <c r="O158" s="40"/>
      <c r="P158" s="40"/>
      <c r="Q158" s="67">
        <v>1.0</v>
      </c>
      <c r="R158" s="42">
        <f t="shared" si="28"/>
        <v>1</v>
      </c>
      <c r="S158" s="45">
        <f t="shared" si="29"/>
        <v>300</v>
      </c>
      <c r="T158" s="33">
        <f t="shared" si="30"/>
        <v>7</v>
      </c>
      <c r="U158" s="76">
        <v>0.0</v>
      </c>
      <c r="V158" s="3"/>
      <c r="W158" s="3"/>
      <c r="X158" s="3"/>
      <c r="Y158" s="3"/>
      <c r="Z158" s="3"/>
    </row>
    <row r="159">
      <c r="A159" s="102" t="s">
        <v>479</v>
      </c>
      <c r="B159" s="24">
        <f t="shared" si="25"/>
        <v>300</v>
      </c>
      <c r="C159" s="36">
        <v>30.0</v>
      </c>
      <c r="D159" s="37">
        <f t="shared" si="26"/>
        <v>300</v>
      </c>
      <c r="E159" s="39"/>
      <c r="F159" s="41"/>
      <c r="G159" s="40"/>
      <c r="H159" s="40"/>
      <c r="I159" s="39"/>
      <c r="J159" s="40"/>
      <c r="K159" s="44"/>
      <c r="L159" s="44"/>
      <c r="M159" s="41"/>
      <c r="N159" s="37">
        <f t="shared" si="27"/>
        <v>0</v>
      </c>
      <c r="O159" s="40"/>
      <c r="P159" s="40"/>
      <c r="Q159" s="67">
        <v>1.0</v>
      </c>
      <c r="R159" s="42">
        <f t="shared" si="28"/>
        <v>1</v>
      </c>
      <c r="S159" s="45">
        <f t="shared" si="29"/>
        <v>301</v>
      </c>
      <c r="T159" s="33">
        <f t="shared" si="30"/>
        <v>1</v>
      </c>
      <c r="U159" s="76">
        <v>0.0</v>
      </c>
      <c r="V159" s="3"/>
      <c r="W159" s="3"/>
      <c r="X159" s="3"/>
      <c r="Y159" s="3"/>
      <c r="Z159" s="3"/>
    </row>
    <row r="160">
      <c r="A160" s="102" t="s">
        <v>480</v>
      </c>
      <c r="B160" s="24">
        <f t="shared" si="25"/>
        <v>300</v>
      </c>
      <c r="C160" s="36">
        <v>30.0</v>
      </c>
      <c r="D160" s="37">
        <f t="shared" si="26"/>
        <v>300</v>
      </c>
      <c r="E160" s="38"/>
      <c r="F160" s="41">
        <v>0.5</v>
      </c>
      <c r="G160" s="40"/>
      <c r="H160" s="40"/>
      <c r="I160" s="39"/>
      <c r="J160" s="40"/>
      <c r="K160" s="44"/>
      <c r="L160" s="44"/>
      <c r="M160" s="41">
        <v>1.5</v>
      </c>
      <c r="N160" s="37">
        <f t="shared" si="27"/>
        <v>2</v>
      </c>
      <c r="O160" s="40"/>
      <c r="P160" s="40"/>
      <c r="Q160" s="67">
        <v>1.0</v>
      </c>
      <c r="R160" s="42">
        <f t="shared" si="28"/>
        <v>1</v>
      </c>
      <c r="S160" s="45">
        <f t="shared" si="29"/>
        <v>299</v>
      </c>
      <c r="T160" s="33">
        <f t="shared" si="30"/>
        <v>12</v>
      </c>
      <c r="U160" s="76">
        <v>0.0</v>
      </c>
      <c r="V160" s="3"/>
      <c r="W160" s="3"/>
      <c r="X160" s="3"/>
      <c r="Y160" s="3"/>
      <c r="Z160" s="3"/>
    </row>
    <row r="161">
      <c r="A161" s="102" t="s">
        <v>481</v>
      </c>
      <c r="B161" s="24">
        <f t="shared" si="25"/>
        <v>300</v>
      </c>
      <c r="C161" s="36">
        <v>30.0</v>
      </c>
      <c r="D161" s="37">
        <f t="shared" si="26"/>
        <v>300</v>
      </c>
      <c r="E161" s="39"/>
      <c r="F161" s="41">
        <v>0.5</v>
      </c>
      <c r="G161" s="40"/>
      <c r="H161" s="40"/>
      <c r="I161" s="39"/>
      <c r="J161" s="40"/>
      <c r="K161" s="44"/>
      <c r="L161" s="41">
        <v>0.5</v>
      </c>
      <c r="M161" s="41"/>
      <c r="N161" s="37">
        <f t="shared" si="27"/>
        <v>1</v>
      </c>
      <c r="O161" s="40"/>
      <c r="P161" s="40"/>
      <c r="Q161" s="67">
        <v>1.0</v>
      </c>
      <c r="R161" s="42">
        <f t="shared" si="28"/>
        <v>1</v>
      </c>
      <c r="S161" s="45">
        <f t="shared" si="29"/>
        <v>300</v>
      </c>
      <c r="T161" s="33">
        <f t="shared" si="30"/>
        <v>7</v>
      </c>
      <c r="U161" s="76">
        <v>0.0</v>
      </c>
      <c r="V161" s="3"/>
      <c r="W161" s="3"/>
      <c r="X161" s="3"/>
      <c r="Y161" s="3"/>
      <c r="Z161" s="3"/>
    </row>
    <row r="162">
      <c r="A162" s="102" t="s">
        <v>482</v>
      </c>
      <c r="B162" s="24">
        <f t="shared" si="25"/>
        <v>300</v>
      </c>
      <c r="C162" s="36">
        <v>30.0</v>
      </c>
      <c r="D162" s="37">
        <f t="shared" si="26"/>
        <v>300</v>
      </c>
      <c r="E162" s="38"/>
      <c r="F162" s="41">
        <v>0.5</v>
      </c>
      <c r="G162" s="40"/>
      <c r="H162" s="40"/>
      <c r="I162" s="39"/>
      <c r="J162" s="38"/>
      <c r="K162" s="44"/>
      <c r="L162" s="41">
        <v>0.5</v>
      </c>
      <c r="M162" s="41"/>
      <c r="N162" s="37">
        <f t="shared" si="27"/>
        <v>1</v>
      </c>
      <c r="O162" s="40"/>
      <c r="P162" s="40"/>
      <c r="Q162" s="67">
        <v>1.0</v>
      </c>
      <c r="R162" s="42">
        <f t="shared" si="28"/>
        <v>1</v>
      </c>
      <c r="S162" s="45">
        <f t="shared" si="29"/>
        <v>300</v>
      </c>
      <c r="T162" s="33">
        <f t="shared" si="30"/>
        <v>7</v>
      </c>
      <c r="U162" s="76"/>
      <c r="V162" s="3"/>
      <c r="W162" s="3"/>
      <c r="X162" s="3"/>
      <c r="Y162" s="3"/>
      <c r="Z162" s="3"/>
    </row>
    <row r="163">
      <c r="A163" s="102" t="s">
        <v>483</v>
      </c>
      <c r="B163" s="24">
        <f t="shared" si="25"/>
        <v>300</v>
      </c>
      <c r="C163" s="36">
        <v>30.0</v>
      </c>
      <c r="D163" s="37">
        <f t="shared" si="26"/>
        <v>300</v>
      </c>
      <c r="E163" s="39"/>
      <c r="F163" s="41">
        <v>1.0</v>
      </c>
      <c r="G163" s="40"/>
      <c r="H163" s="40"/>
      <c r="I163" s="39"/>
      <c r="J163" s="40"/>
      <c r="K163" s="44"/>
      <c r="L163" s="41"/>
      <c r="M163" s="41"/>
      <c r="N163" s="37">
        <f t="shared" si="27"/>
        <v>1</v>
      </c>
      <c r="O163" s="40"/>
      <c r="P163" s="40"/>
      <c r="Q163" s="67">
        <v>1.0</v>
      </c>
      <c r="R163" s="42">
        <f t="shared" si="28"/>
        <v>1</v>
      </c>
      <c r="S163" s="47">
        <f t="shared" si="29"/>
        <v>300</v>
      </c>
      <c r="T163" s="33">
        <f t="shared" si="30"/>
        <v>7</v>
      </c>
      <c r="U163" s="76">
        <v>0.0</v>
      </c>
      <c r="V163" s="3"/>
      <c r="W163" s="3"/>
      <c r="X163" s="3"/>
      <c r="Y163" s="3"/>
      <c r="Z163" s="3"/>
    </row>
    <row r="164">
      <c r="A164" s="102" t="s">
        <v>484</v>
      </c>
      <c r="B164" s="24">
        <f t="shared" si="25"/>
        <v>299</v>
      </c>
      <c r="C164" s="36">
        <v>30.0</v>
      </c>
      <c r="D164" s="37">
        <f t="shared" si="26"/>
        <v>299</v>
      </c>
      <c r="E164" s="39"/>
      <c r="F164" s="41">
        <v>0.5</v>
      </c>
      <c r="G164" s="40"/>
      <c r="H164" s="40"/>
      <c r="I164" s="39"/>
      <c r="J164" s="38"/>
      <c r="K164" s="44"/>
      <c r="L164" s="41">
        <v>0.5</v>
      </c>
      <c r="M164" s="41"/>
      <c r="N164" s="37">
        <f t="shared" si="27"/>
        <v>1</v>
      </c>
      <c r="O164" s="40"/>
      <c r="P164" s="40"/>
      <c r="Q164" s="67">
        <v>1.0</v>
      </c>
      <c r="R164" s="42">
        <f t="shared" si="28"/>
        <v>1</v>
      </c>
      <c r="S164" s="47">
        <f t="shared" si="29"/>
        <v>299</v>
      </c>
      <c r="T164" s="33">
        <f t="shared" si="30"/>
        <v>12</v>
      </c>
      <c r="U164" s="76">
        <v>1.0</v>
      </c>
      <c r="V164" s="3"/>
      <c r="W164" s="3"/>
      <c r="X164" s="3"/>
      <c r="Y164" s="3"/>
      <c r="Z164" s="3"/>
    </row>
    <row r="165">
      <c r="A165" s="102" t="s">
        <v>485</v>
      </c>
      <c r="B165" s="24">
        <f t="shared" si="25"/>
        <v>299</v>
      </c>
      <c r="C165" s="36">
        <v>30.0</v>
      </c>
      <c r="D165" s="37">
        <f t="shared" si="26"/>
        <v>299</v>
      </c>
      <c r="E165" s="38"/>
      <c r="F165" s="44"/>
      <c r="G165" s="40"/>
      <c r="H165" s="40"/>
      <c r="I165" s="39"/>
      <c r="J165" s="40"/>
      <c r="K165" s="41"/>
      <c r="L165" s="44"/>
      <c r="M165" s="41"/>
      <c r="N165" s="37">
        <f t="shared" si="27"/>
        <v>0</v>
      </c>
      <c r="O165" s="40"/>
      <c r="P165" s="40"/>
      <c r="Q165" s="67">
        <v>1.0</v>
      </c>
      <c r="R165" s="42">
        <f t="shared" si="28"/>
        <v>1</v>
      </c>
      <c r="S165" s="43">
        <f t="shared" si="29"/>
        <v>300</v>
      </c>
      <c r="T165" s="33">
        <f t="shared" si="30"/>
        <v>7</v>
      </c>
      <c r="U165" s="65">
        <v>1.0</v>
      </c>
      <c r="V165" s="3"/>
      <c r="W165" s="3"/>
      <c r="X165" s="3"/>
      <c r="Y165" s="3"/>
      <c r="Z165" s="3"/>
    </row>
    <row r="166">
      <c r="A166" s="102" t="s">
        <v>486</v>
      </c>
      <c r="B166" s="24">
        <f t="shared" si="25"/>
        <v>300</v>
      </c>
      <c r="C166" s="36">
        <v>30.0</v>
      </c>
      <c r="D166" s="37">
        <f t="shared" si="26"/>
        <v>300</v>
      </c>
      <c r="E166" s="39"/>
      <c r="F166" s="41"/>
      <c r="G166" s="40"/>
      <c r="H166" s="40"/>
      <c r="I166" s="39"/>
      <c r="J166" s="40"/>
      <c r="K166" s="44"/>
      <c r="L166" s="44"/>
      <c r="M166" s="41"/>
      <c r="N166" s="37">
        <f t="shared" si="27"/>
        <v>0</v>
      </c>
      <c r="O166" s="40"/>
      <c r="P166" s="40"/>
      <c r="Q166" s="67">
        <v>1.0</v>
      </c>
      <c r="R166" s="42">
        <f t="shared" si="28"/>
        <v>1</v>
      </c>
      <c r="S166" s="45">
        <f t="shared" si="29"/>
        <v>301</v>
      </c>
      <c r="T166" s="33">
        <f t="shared" si="30"/>
        <v>1</v>
      </c>
      <c r="U166" s="76">
        <v>0.0</v>
      </c>
      <c r="V166" s="3"/>
      <c r="W166" s="3"/>
      <c r="X166" s="3"/>
      <c r="Y166" s="3"/>
      <c r="Z166" s="3"/>
    </row>
    <row r="167">
      <c r="A167" s="102" t="s">
        <v>487</v>
      </c>
      <c r="B167" s="24">
        <f t="shared" si="25"/>
        <v>300</v>
      </c>
      <c r="C167" s="36">
        <v>30.0</v>
      </c>
      <c r="D167" s="37">
        <f t="shared" si="26"/>
        <v>300</v>
      </c>
      <c r="E167" s="38"/>
      <c r="F167" s="44"/>
      <c r="G167" s="40"/>
      <c r="H167" s="40"/>
      <c r="I167" s="39"/>
      <c r="J167" s="40"/>
      <c r="K167" s="44"/>
      <c r="L167" s="44"/>
      <c r="M167" s="44"/>
      <c r="N167" s="37">
        <f t="shared" si="27"/>
        <v>0</v>
      </c>
      <c r="O167" s="40"/>
      <c r="P167" s="40"/>
      <c r="Q167" s="67">
        <v>1.0</v>
      </c>
      <c r="R167" s="42">
        <f t="shared" si="28"/>
        <v>1</v>
      </c>
      <c r="S167" s="45">
        <f t="shared" si="29"/>
        <v>301</v>
      </c>
      <c r="T167" s="33">
        <f t="shared" si="30"/>
        <v>1</v>
      </c>
      <c r="U167" s="76">
        <v>0.0</v>
      </c>
      <c r="V167" s="3"/>
      <c r="W167" s="3"/>
      <c r="X167" s="3"/>
      <c r="Y167" s="3"/>
      <c r="Z167" s="3"/>
    </row>
    <row r="168">
      <c r="A168" s="102" t="s">
        <v>488</v>
      </c>
      <c r="B168" s="24">
        <f t="shared" si="25"/>
        <v>300</v>
      </c>
      <c r="C168" s="36">
        <v>30.0</v>
      </c>
      <c r="D168" s="37">
        <f t="shared" si="26"/>
        <v>300</v>
      </c>
      <c r="E168" s="38"/>
      <c r="F168" s="41"/>
      <c r="G168" s="40"/>
      <c r="H168" s="40"/>
      <c r="I168" s="41">
        <v>0.5</v>
      </c>
      <c r="J168" s="40"/>
      <c r="K168" s="44"/>
      <c r="L168" s="44"/>
      <c r="M168" s="41"/>
      <c r="N168" s="37">
        <f t="shared" si="27"/>
        <v>0.5</v>
      </c>
      <c r="O168" s="40"/>
      <c r="P168" s="40"/>
      <c r="Q168" s="67">
        <v>1.0</v>
      </c>
      <c r="R168" s="42">
        <f t="shared" si="28"/>
        <v>1</v>
      </c>
      <c r="S168" s="47">
        <f t="shared" si="29"/>
        <v>300.5</v>
      </c>
      <c r="T168" s="33">
        <f t="shared" si="30"/>
        <v>6</v>
      </c>
      <c r="U168" s="76">
        <v>0.0</v>
      </c>
      <c r="V168" s="3"/>
      <c r="W168" s="3"/>
      <c r="X168" s="3"/>
      <c r="Y168" s="3"/>
      <c r="Z168" s="3"/>
    </row>
    <row r="169">
      <c r="A169" s="103" t="s">
        <v>489</v>
      </c>
      <c r="B169" s="49">
        <f t="shared" si="25"/>
        <v>300</v>
      </c>
      <c r="C169" s="50">
        <v>30.0</v>
      </c>
      <c r="D169" s="51">
        <f t="shared" si="26"/>
        <v>300</v>
      </c>
      <c r="E169" s="68"/>
      <c r="F169" s="74"/>
      <c r="G169" s="53"/>
      <c r="H169" s="53"/>
      <c r="I169" s="68"/>
      <c r="J169" s="52"/>
      <c r="K169" s="54"/>
      <c r="L169" s="54"/>
      <c r="M169" s="74"/>
      <c r="N169" s="51">
        <f t="shared" si="27"/>
        <v>0</v>
      </c>
      <c r="O169" s="53"/>
      <c r="P169" s="53"/>
      <c r="Q169" s="69">
        <v>1.0</v>
      </c>
      <c r="R169" s="56">
        <f t="shared" si="28"/>
        <v>1</v>
      </c>
      <c r="S169" s="57">
        <f t="shared" si="29"/>
        <v>301</v>
      </c>
      <c r="T169" s="58">
        <f t="shared" si="30"/>
        <v>1</v>
      </c>
      <c r="U169" s="76">
        <v>0.0</v>
      </c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124"/>
      <c r="F170" s="104"/>
      <c r="G170" s="3"/>
      <c r="H170" s="3"/>
      <c r="I170" s="124"/>
      <c r="J170" s="3"/>
      <c r="K170" s="104"/>
      <c r="L170" s="104"/>
      <c r="M170" s="104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63"/>
      <c r="B171" s="63" t="s">
        <v>490</v>
      </c>
      <c r="C171" s="3"/>
      <c r="D171" s="3"/>
      <c r="E171" s="124"/>
      <c r="F171" s="104"/>
      <c r="G171" s="63" t="s">
        <v>560</v>
      </c>
      <c r="H171" s="3"/>
      <c r="I171" s="124"/>
      <c r="J171" s="62"/>
      <c r="K171" s="104"/>
      <c r="L171" s="105"/>
      <c r="M171" s="104"/>
      <c r="N171" s="62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65" t="s">
        <v>561</v>
      </c>
      <c r="C172" s="3"/>
      <c r="D172" s="3"/>
      <c r="E172" s="124"/>
      <c r="F172" s="104"/>
      <c r="G172" s="63"/>
      <c r="H172" s="3"/>
      <c r="I172" s="124"/>
      <c r="J172" s="62"/>
      <c r="K172" s="104"/>
      <c r="L172" s="107"/>
      <c r="M172" s="125"/>
      <c r="N172" s="92" t="s">
        <v>108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65" t="s">
        <v>562</v>
      </c>
      <c r="C173" s="3"/>
      <c r="D173" s="3"/>
      <c r="E173" s="124"/>
      <c r="F173" s="104"/>
      <c r="G173" s="63"/>
      <c r="H173" s="3"/>
      <c r="I173" s="124"/>
      <c r="J173" s="63"/>
      <c r="K173" s="104"/>
      <c r="L173" s="107"/>
      <c r="M173" s="125"/>
      <c r="N173" s="112" t="s">
        <v>563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65"/>
      <c r="C174" s="3"/>
      <c r="D174" s="3"/>
      <c r="E174" s="124"/>
      <c r="F174" s="104"/>
      <c r="G174" s="63"/>
      <c r="H174" s="3"/>
      <c r="I174" s="124"/>
      <c r="J174" s="3"/>
      <c r="K174" s="104"/>
      <c r="L174" s="107"/>
      <c r="M174" s="125"/>
      <c r="N174" s="76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65" t="s">
        <v>564</v>
      </c>
      <c r="C175" s="3"/>
      <c r="D175" s="3"/>
      <c r="E175" s="124"/>
      <c r="F175" s="104"/>
      <c r="G175" s="62"/>
      <c r="H175" s="3"/>
      <c r="I175" s="124"/>
      <c r="J175" s="3"/>
      <c r="K175" s="104"/>
      <c r="L175" s="104"/>
      <c r="M175" s="75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65" t="s">
        <v>565</v>
      </c>
      <c r="C176" s="3"/>
      <c r="D176" s="3"/>
      <c r="E176" s="124"/>
      <c r="F176" s="104"/>
      <c r="G176" s="3"/>
      <c r="H176" s="3"/>
      <c r="I176" s="124"/>
      <c r="J176" s="3"/>
      <c r="K176" s="104"/>
      <c r="L176" s="104"/>
      <c r="M176" s="125"/>
      <c r="N176" s="3"/>
      <c r="O176" s="92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65" t="s">
        <v>566</v>
      </c>
      <c r="C177" s="3"/>
      <c r="D177" s="3"/>
      <c r="E177" s="124"/>
      <c r="F177" s="104"/>
      <c r="G177" s="3"/>
      <c r="H177" s="3"/>
      <c r="I177" s="124"/>
      <c r="J177" s="3"/>
      <c r="K177" s="104"/>
      <c r="L177" s="104"/>
      <c r="M177" s="125"/>
      <c r="N177" s="3"/>
      <c r="O177" s="64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65" t="s">
        <v>567</v>
      </c>
      <c r="C178" s="3"/>
      <c r="D178" s="3"/>
      <c r="E178" s="124"/>
      <c r="F178" s="104"/>
      <c r="G178" s="3"/>
      <c r="H178" s="3"/>
      <c r="I178" s="124"/>
      <c r="J178" s="3"/>
      <c r="K178" s="104"/>
      <c r="L178" s="104"/>
      <c r="M178" s="125"/>
      <c r="N178" s="3"/>
      <c r="O178" s="92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65" t="s">
        <v>568</v>
      </c>
      <c r="C179" s="3"/>
      <c r="D179" s="3"/>
      <c r="E179" s="124"/>
      <c r="F179" s="104"/>
      <c r="G179" s="3"/>
      <c r="H179" s="3"/>
      <c r="I179" s="124"/>
      <c r="J179" s="3"/>
      <c r="K179" s="104"/>
      <c r="L179" s="104"/>
      <c r="M179" s="125"/>
      <c r="N179" s="3"/>
      <c r="O179" s="64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65" t="s">
        <v>569</v>
      </c>
      <c r="C180" s="3"/>
      <c r="D180" s="3"/>
      <c r="E180" s="124"/>
      <c r="F180" s="104"/>
      <c r="G180" s="3"/>
      <c r="H180" s="3"/>
      <c r="I180" s="124"/>
      <c r="J180" s="3"/>
      <c r="K180" s="104"/>
      <c r="L180" s="104"/>
      <c r="M180" s="107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124"/>
      <c r="F181" s="104"/>
      <c r="G181" s="3"/>
      <c r="H181" s="3"/>
      <c r="I181" s="124"/>
      <c r="J181" s="3"/>
      <c r="K181" s="104"/>
      <c r="L181" s="104"/>
      <c r="M181" s="104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124"/>
      <c r="F182" s="104"/>
      <c r="G182" s="3"/>
      <c r="H182" s="3"/>
      <c r="I182" s="124"/>
      <c r="J182" s="3"/>
      <c r="K182" s="104"/>
      <c r="L182" s="104"/>
      <c r="M182" s="104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124"/>
      <c r="F183" s="104"/>
      <c r="G183" s="3"/>
      <c r="H183" s="3"/>
      <c r="I183" s="124"/>
      <c r="J183" s="3"/>
      <c r="K183" s="104"/>
      <c r="L183" s="104"/>
      <c r="M183" s="104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" t="s">
        <v>570</v>
      </c>
      <c r="U184" s="3"/>
      <c r="V184" s="3"/>
      <c r="W184" s="3"/>
      <c r="X184" s="3"/>
      <c r="Y184" s="3"/>
      <c r="Z184" s="3"/>
    </row>
    <row r="185">
      <c r="A185" s="1" t="s">
        <v>114</v>
      </c>
      <c r="U185" s="3"/>
      <c r="V185" s="3"/>
      <c r="W185" s="3"/>
      <c r="X185" s="3"/>
      <c r="Y185" s="3"/>
      <c r="Z185" s="3"/>
    </row>
    <row r="186">
      <c r="A186" s="2"/>
      <c r="B186" s="4"/>
      <c r="C186" s="2"/>
      <c r="D186" s="2"/>
      <c r="E186" s="78"/>
      <c r="F186" s="98"/>
      <c r="G186" s="2"/>
      <c r="H186" s="2"/>
      <c r="I186" s="78"/>
      <c r="J186" s="2"/>
      <c r="K186" s="98"/>
      <c r="L186" s="98"/>
      <c r="M186" s="98"/>
      <c r="N186" s="2"/>
      <c r="O186" s="2"/>
      <c r="P186" s="2"/>
      <c r="Q186" s="2"/>
      <c r="R186" s="2"/>
      <c r="S186" s="2"/>
      <c r="T186" s="2"/>
      <c r="U186" s="3"/>
      <c r="V186" s="3"/>
      <c r="W186" s="3"/>
      <c r="X186" s="3"/>
      <c r="Y186" s="3"/>
      <c r="Z186" s="3"/>
    </row>
    <row r="187">
      <c r="A187" s="8" t="s">
        <v>2</v>
      </c>
      <c r="B187" s="9" t="s">
        <v>3</v>
      </c>
      <c r="C187" s="10"/>
      <c r="D187" s="11"/>
      <c r="E187" s="12" t="s">
        <v>4</v>
      </c>
      <c r="F187" s="10"/>
      <c r="G187" s="10"/>
      <c r="H187" s="10"/>
      <c r="I187" s="10"/>
      <c r="J187" s="10"/>
      <c r="K187" s="10"/>
      <c r="L187" s="10"/>
      <c r="M187" s="10"/>
      <c r="N187" s="11"/>
      <c r="O187" s="13" t="s">
        <v>5</v>
      </c>
      <c r="P187" s="10"/>
      <c r="Q187" s="10"/>
      <c r="R187" s="11"/>
      <c r="S187" s="14" t="s">
        <v>6</v>
      </c>
      <c r="T187" s="14" t="s">
        <v>7</v>
      </c>
      <c r="U187" s="3"/>
      <c r="V187" s="3"/>
      <c r="W187" s="3"/>
      <c r="X187" s="3"/>
      <c r="Y187" s="3"/>
      <c r="Z187" s="3"/>
    </row>
    <row r="188">
      <c r="A188" s="15"/>
      <c r="B188" s="16" t="s">
        <v>8</v>
      </c>
      <c r="C188" s="17" t="s">
        <v>9</v>
      </c>
      <c r="D188" s="14" t="s">
        <v>10</v>
      </c>
      <c r="E188" s="17" t="s">
        <v>11</v>
      </c>
      <c r="F188" s="18" t="s">
        <v>12</v>
      </c>
      <c r="G188" s="17" t="s">
        <v>13</v>
      </c>
      <c r="H188" s="17" t="s">
        <v>14</v>
      </c>
      <c r="I188" s="17" t="s">
        <v>15</v>
      </c>
      <c r="J188" s="17" t="s">
        <v>16</v>
      </c>
      <c r="K188" s="18" t="s">
        <v>17</v>
      </c>
      <c r="L188" s="18" t="s">
        <v>18</v>
      </c>
      <c r="M188" s="18" t="s">
        <v>19</v>
      </c>
      <c r="N188" s="14" t="s">
        <v>20</v>
      </c>
      <c r="O188" s="17" t="s">
        <v>21</v>
      </c>
      <c r="P188" s="17" t="s">
        <v>22</v>
      </c>
      <c r="Q188" s="17" t="s">
        <v>23</v>
      </c>
      <c r="R188" s="14" t="s">
        <v>24</v>
      </c>
      <c r="S188" s="19"/>
      <c r="T188" s="19"/>
      <c r="U188" s="3"/>
      <c r="V188" s="3"/>
      <c r="W188" s="3"/>
      <c r="X188" s="3"/>
      <c r="Y188" s="3"/>
      <c r="Z188" s="3"/>
    </row>
    <row r="189">
      <c r="A189" s="20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3"/>
      <c r="V189" s="3"/>
      <c r="W189" s="3"/>
      <c r="X189" s="3"/>
      <c r="Y189" s="3"/>
      <c r="Z189" s="3"/>
    </row>
    <row r="190">
      <c r="A190" s="100">
        <v>12.0</v>
      </c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3"/>
      <c r="V190" s="3"/>
      <c r="W190" s="3"/>
      <c r="X190" s="3"/>
      <c r="Y190" s="3"/>
      <c r="Z190" s="3"/>
    </row>
    <row r="191">
      <c r="A191" s="101" t="s">
        <v>476</v>
      </c>
      <c r="B191" s="24">
        <f t="shared" ref="B191:B204" si="31">300-U191</f>
        <v>300</v>
      </c>
      <c r="C191" s="25">
        <v>30.0</v>
      </c>
      <c r="D191" s="26">
        <f t="shared" ref="D191:D204" si="32">B191</f>
        <v>300</v>
      </c>
      <c r="E191" s="28"/>
      <c r="F191" s="73"/>
      <c r="G191" s="29"/>
      <c r="H191" s="29"/>
      <c r="I191" s="28"/>
      <c r="J191" s="29"/>
      <c r="K191" s="30"/>
      <c r="L191" s="30"/>
      <c r="M191" s="73"/>
      <c r="N191" s="26">
        <f t="shared" ref="N191:N204" si="33">SUM(E191:M191)</f>
        <v>0</v>
      </c>
      <c r="O191" s="29"/>
      <c r="P191" s="29"/>
      <c r="Q191" s="83"/>
      <c r="R191" s="31">
        <f t="shared" ref="R191:R204" si="34">SUM(O191:Q191)</f>
        <v>0</v>
      </c>
      <c r="S191" s="32">
        <f t="shared" ref="S191:S204" si="35">D191-N191+R191</f>
        <v>300</v>
      </c>
      <c r="T191" s="33">
        <f t="shared" ref="T191:T204" si="36">RANK(S191,$S$191:$S$204,0)</f>
        <v>4</v>
      </c>
      <c r="U191" s="76"/>
      <c r="V191" s="3"/>
      <c r="W191" s="3"/>
      <c r="X191" s="3"/>
      <c r="Y191" s="3"/>
      <c r="Z191" s="3"/>
    </row>
    <row r="192">
      <c r="A192" s="102" t="s">
        <v>477</v>
      </c>
      <c r="B192" s="24">
        <f t="shared" si="31"/>
        <v>299</v>
      </c>
      <c r="C192" s="36">
        <v>30.0</v>
      </c>
      <c r="D192" s="37">
        <f t="shared" si="32"/>
        <v>299</v>
      </c>
      <c r="E192" s="39"/>
      <c r="F192" s="41"/>
      <c r="G192" s="40"/>
      <c r="H192" s="40"/>
      <c r="I192" s="41">
        <v>0.5</v>
      </c>
      <c r="J192" s="40"/>
      <c r="K192" s="44"/>
      <c r="L192" s="41"/>
      <c r="M192" s="41"/>
      <c r="N192" s="37">
        <f t="shared" si="33"/>
        <v>0.5</v>
      </c>
      <c r="O192" s="40"/>
      <c r="P192" s="40"/>
      <c r="Q192" s="67"/>
      <c r="R192" s="42">
        <f t="shared" si="34"/>
        <v>0</v>
      </c>
      <c r="S192" s="43">
        <f t="shared" si="35"/>
        <v>298.5</v>
      </c>
      <c r="T192" s="33">
        <f t="shared" si="36"/>
        <v>13</v>
      </c>
      <c r="U192" s="76">
        <v>1.0</v>
      </c>
      <c r="V192" s="3"/>
      <c r="W192" s="3"/>
      <c r="X192" s="3"/>
      <c r="Y192" s="3"/>
      <c r="Z192" s="3"/>
    </row>
    <row r="193">
      <c r="A193" s="102" t="s">
        <v>478</v>
      </c>
      <c r="B193" s="24">
        <f t="shared" si="31"/>
        <v>300</v>
      </c>
      <c r="C193" s="36">
        <v>30.0</v>
      </c>
      <c r="D193" s="37">
        <f t="shared" si="32"/>
        <v>300</v>
      </c>
      <c r="E193" s="39"/>
      <c r="F193" s="41">
        <v>0.5</v>
      </c>
      <c r="G193" s="40"/>
      <c r="H193" s="40"/>
      <c r="I193" s="39"/>
      <c r="J193" s="40"/>
      <c r="K193" s="44"/>
      <c r="L193" s="41"/>
      <c r="M193" s="44"/>
      <c r="N193" s="37">
        <f t="shared" si="33"/>
        <v>0.5</v>
      </c>
      <c r="O193" s="40"/>
      <c r="P193" s="40"/>
      <c r="Q193" s="67"/>
      <c r="R193" s="42">
        <f t="shared" si="34"/>
        <v>0</v>
      </c>
      <c r="S193" s="45">
        <f t="shared" si="35"/>
        <v>299.5</v>
      </c>
      <c r="T193" s="33">
        <f t="shared" si="36"/>
        <v>11</v>
      </c>
      <c r="U193" s="76"/>
      <c r="V193" s="3"/>
      <c r="W193" s="3"/>
      <c r="X193" s="3"/>
      <c r="Y193" s="3"/>
      <c r="Z193" s="3"/>
    </row>
    <row r="194">
      <c r="A194" s="102" t="s">
        <v>479</v>
      </c>
      <c r="B194" s="24">
        <f t="shared" si="31"/>
        <v>300</v>
      </c>
      <c r="C194" s="36">
        <v>30.0</v>
      </c>
      <c r="D194" s="37">
        <f t="shared" si="32"/>
        <v>300</v>
      </c>
      <c r="E194" s="39">
        <v>1.5</v>
      </c>
      <c r="F194" s="41"/>
      <c r="G194" s="40"/>
      <c r="H194" s="40"/>
      <c r="I194" s="39"/>
      <c r="J194" s="40"/>
      <c r="K194" s="44"/>
      <c r="L194" s="44"/>
      <c r="M194" s="41"/>
      <c r="N194" s="37">
        <f t="shared" si="33"/>
        <v>1.5</v>
      </c>
      <c r="O194" s="40"/>
      <c r="P194" s="40"/>
      <c r="Q194" s="67">
        <v>0.5</v>
      </c>
      <c r="R194" s="42">
        <f t="shared" si="34"/>
        <v>0.5</v>
      </c>
      <c r="S194" s="45">
        <f t="shared" si="35"/>
        <v>299</v>
      </c>
      <c r="T194" s="33">
        <f t="shared" si="36"/>
        <v>12</v>
      </c>
      <c r="U194" s="76"/>
      <c r="V194" s="3"/>
      <c r="W194" s="3"/>
      <c r="X194" s="3"/>
      <c r="Y194" s="3"/>
      <c r="Z194" s="3"/>
    </row>
    <row r="195">
      <c r="A195" s="102" t="s">
        <v>480</v>
      </c>
      <c r="B195" s="24">
        <f t="shared" si="31"/>
        <v>300</v>
      </c>
      <c r="C195" s="36">
        <v>30.0</v>
      </c>
      <c r="D195" s="37">
        <f t="shared" si="32"/>
        <v>300</v>
      </c>
      <c r="E195" s="38"/>
      <c r="F195" s="41"/>
      <c r="G195" s="40"/>
      <c r="H195" s="40"/>
      <c r="I195" s="39"/>
      <c r="J195" s="40"/>
      <c r="K195" s="44"/>
      <c r="L195" s="44"/>
      <c r="M195" s="41"/>
      <c r="N195" s="37">
        <f t="shared" si="33"/>
        <v>0</v>
      </c>
      <c r="O195" s="40"/>
      <c r="P195" s="40"/>
      <c r="Q195" s="67">
        <v>0.5</v>
      </c>
      <c r="R195" s="42">
        <f t="shared" si="34"/>
        <v>0.5</v>
      </c>
      <c r="S195" s="45">
        <f t="shared" si="35"/>
        <v>300.5</v>
      </c>
      <c r="T195" s="33">
        <f t="shared" si="36"/>
        <v>1</v>
      </c>
      <c r="U195" s="76"/>
      <c r="V195" s="3"/>
      <c r="W195" s="3"/>
      <c r="X195" s="3"/>
      <c r="Y195" s="3"/>
      <c r="Z195" s="3"/>
    </row>
    <row r="196">
      <c r="A196" s="102" t="s">
        <v>481</v>
      </c>
      <c r="B196" s="24">
        <f t="shared" si="31"/>
        <v>300</v>
      </c>
      <c r="C196" s="36">
        <v>30.0</v>
      </c>
      <c r="D196" s="37">
        <f t="shared" si="32"/>
        <v>300</v>
      </c>
      <c r="E196" s="39"/>
      <c r="F196" s="41"/>
      <c r="G196" s="40"/>
      <c r="H196" s="40"/>
      <c r="I196" s="39"/>
      <c r="J196" s="40"/>
      <c r="K196" s="44"/>
      <c r="L196" s="41"/>
      <c r="M196" s="41"/>
      <c r="N196" s="37">
        <f t="shared" si="33"/>
        <v>0</v>
      </c>
      <c r="O196" s="40"/>
      <c r="P196" s="40"/>
      <c r="Q196" s="67"/>
      <c r="R196" s="42">
        <f t="shared" si="34"/>
        <v>0</v>
      </c>
      <c r="S196" s="45">
        <f t="shared" si="35"/>
        <v>300</v>
      </c>
      <c r="T196" s="33">
        <f t="shared" si="36"/>
        <v>4</v>
      </c>
      <c r="U196" s="76"/>
      <c r="V196" s="3"/>
      <c r="W196" s="3"/>
      <c r="X196" s="3"/>
      <c r="Y196" s="3"/>
      <c r="Z196" s="3"/>
    </row>
    <row r="197">
      <c r="A197" s="102" t="s">
        <v>482</v>
      </c>
      <c r="B197" s="24">
        <f t="shared" si="31"/>
        <v>300</v>
      </c>
      <c r="C197" s="36">
        <v>30.0</v>
      </c>
      <c r="D197" s="37">
        <f t="shared" si="32"/>
        <v>300</v>
      </c>
      <c r="E197" s="38"/>
      <c r="F197" s="41"/>
      <c r="G197" s="40"/>
      <c r="H197" s="40"/>
      <c r="I197" s="39"/>
      <c r="J197" s="38"/>
      <c r="K197" s="44"/>
      <c r="L197" s="41"/>
      <c r="M197" s="41"/>
      <c r="N197" s="37">
        <f t="shared" si="33"/>
        <v>0</v>
      </c>
      <c r="O197" s="40"/>
      <c r="P197" s="40"/>
      <c r="Q197" s="67"/>
      <c r="R197" s="42">
        <f t="shared" si="34"/>
        <v>0</v>
      </c>
      <c r="S197" s="45">
        <f t="shared" si="35"/>
        <v>300</v>
      </c>
      <c r="T197" s="33">
        <f t="shared" si="36"/>
        <v>4</v>
      </c>
      <c r="U197" s="76"/>
      <c r="V197" s="3"/>
      <c r="W197" s="3"/>
      <c r="X197" s="3"/>
      <c r="Y197" s="3"/>
      <c r="Z197" s="3"/>
    </row>
    <row r="198">
      <c r="A198" s="102" t="s">
        <v>483</v>
      </c>
      <c r="B198" s="24">
        <f t="shared" si="31"/>
        <v>300</v>
      </c>
      <c r="C198" s="36">
        <v>30.0</v>
      </c>
      <c r="D198" s="37">
        <f t="shared" si="32"/>
        <v>300</v>
      </c>
      <c r="E198" s="39"/>
      <c r="F198" s="41"/>
      <c r="G198" s="40"/>
      <c r="H198" s="40"/>
      <c r="I198" s="41">
        <v>0.5</v>
      </c>
      <c r="J198" s="40"/>
      <c r="K198" s="44"/>
      <c r="L198" s="41"/>
      <c r="M198" s="41"/>
      <c r="N198" s="37">
        <f t="shared" si="33"/>
        <v>0.5</v>
      </c>
      <c r="O198" s="40"/>
      <c r="P198" s="40"/>
      <c r="Q198" s="67">
        <v>0.5</v>
      </c>
      <c r="R198" s="42">
        <f t="shared" si="34"/>
        <v>0.5</v>
      </c>
      <c r="S198" s="47">
        <f t="shared" si="35"/>
        <v>300</v>
      </c>
      <c r="T198" s="33">
        <f t="shared" si="36"/>
        <v>4</v>
      </c>
      <c r="U198" s="76"/>
      <c r="V198" s="3"/>
      <c r="W198" s="3"/>
      <c r="X198" s="3"/>
      <c r="Y198" s="3"/>
      <c r="Z198" s="3"/>
    </row>
    <row r="199">
      <c r="A199" s="102" t="s">
        <v>484</v>
      </c>
      <c r="B199" s="24">
        <f t="shared" si="31"/>
        <v>300</v>
      </c>
      <c r="C199" s="36">
        <v>30.0</v>
      </c>
      <c r="D199" s="37">
        <f t="shared" si="32"/>
        <v>300</v>
      </c>
      <c r="E199" s="39"/>
      <c r="F199" s="41"/>
      <c r="G199" s="40"/>
      <c r="H199" s="40"/>
      <c r="I199" s="39"/>
      <c r="J199" s="38"/>
      <c r="K199" s="44"/>
      <c r="L199" s="41"/>
      <c r="M199" s="41"/>
      <c r="N199" s="37">
        <f t="shared" si="33"/>
        <v>0</v>
      </c>
      <c r="O199" s="40"/>
      <c r="P199" s="40"/>
      <c r="Q199" s="67">
        <v>0.5</v>
      </c>
      <c r="R199" s="42">
        <f t="shared" si="34"/>
        <v>0.5</v>
      </c>
      <c r="S199" s="47">
        <f t="shared" si="35"/>
        <v>300.5</v>
      </c>
      <c r="T199" s="33">
        <f t="shared" si="36"/>
        <v>1</v>
      </c>
      <c r="U199" s="76"/>
      <c r="V199" s="3"/>
      <c r="W199" s="3"/>
      <c r="X199" s="3"/>
      <c r="Y199" s="3"/>
      <c r="Z199" s="3"/>
    </row>
    <row r="200">
      <c r="A200" s="102" t="s">
        <v>485</v>
      </c>
      <c r="B200" s="24">
        <f t="shared" si="31"/>
        <v>300</v>
      </c>
      <c r="C200" s="36">
        <v>30.0</v>
      </c>
      <c r="D200" s="37">
        <f t="shared" si="32"/>
        <v>300</v>
      </c>
      <c r="E200" s="38"/>
      <c r="F200" s="44"/>
      <c r="G200" s="40"/>
      <c r="H200" s="40"/>
      <c r="I200" s="39"/>
      <c r="J200" s="40"/>
      <c r="K200" s="41"/>
      <c r="L200" s="44"/>
      <c r="M200" s="41"/>
      <c r="N200" s="37">
        <f t="shared" si="33"/>
        <v>0</v>
      </c>
      <c r="O200" s="40"/>
      <c r="P200" s="40"/>
      <c r="Q200" s="67"/>
      <c r="R200" s="42">
        <f t="shared" si="34"/>
        <v>0</v>
      </c>
      <c r="S200" s="43">
        <f t="shared" si="35"/>
        <v>300</v>
      </c>
      <c r="T200" s="33">
        <f t="shared" si="36"/>
        <v>4</v>
      </c>
      <c r="U200" s="3"/>
      <c r="V200" s="3"/>
      <c r="W200" s="3"/>
      <c r="X200" s="3"/>
      <c r="Y200" s="3"/>
      <c r="Z200" s="3"/>
    </row>
    <row r="201">
      <c r="A201" s="102" t="s">
        <v>486</v>
      </c>
      <c r="B201" s="24">
        <f t="shared" si="31"/>
        <v>300</v>
      </c>
      <c r="C201" s="36">
        <v>30.0</v>
      </c>
      <c r="D201" s="37">
        <f t="shared" si="32"/>
        <v>300</v>
      </c>
      <c r="E201" s="39"/>
      <c r="F201" s="41"/>
      <c r="G201" s="40"/>
      <c r="H201" s="40"/>
      <c r="I201" s="39"/>
      <c r="J201" s="40"/>
      <c r="K201" s="44"/>
      <c r="L201" s="44"/>
      <c r="M201" s="41"/>
      <c r="N201" s="37">
        <f t="shared" si="33"/>
        <v>0</v>
      </c>
      <c r="O201" s="40"/>
      <c r="P201" s="40"/>
      <c r="Q201" s="67"/>
      <c r="R201" s="42">
        <f t="shared" si="34"/>
        <v>0</v>
      </c>
      <c r="S201" s="45">
        <f t="shared" si="35"/>
        <v>300</v>
      </c>
      <c r="T201" s="33">
        <f t="shared" si="36"/>
        <v>4</v>
      </c>
      <c r="U201" s="76"/>
      <c r="V201" s="3"/>
      <c r="W201" s="3"/>
      <c r="X201" s="3"/>
      <c r="Y201" s="3"/>
      <c r="Z201" s="3"/>
    </row>
    <row r="202">
      <c r="A202" s="102" t="s">
        <v>487</v>
      </c>
      <c r="B202" s="24">
        <f t="shared" si="31"/>
        <v>300</v>
      </c>
      <c r="C202" s="36">
        <v>30.0</v>
      </c>
      <c r="D202" s="37">
        <f t="shared" si="32"/>
        <v>300</v>
      </c>
      <c r="E202" s="39">
        <v>1.5</v>
      </c>
      <c r="F202" s="44"/>
      <c r="G202" s="40"/>
      <c r="H202" s="40"/>
      <c r="I202" s="39"/>
      <c r="J202" s="40"/>
      <c r="K202" s="44"/>
      <c r="L202" s="44"/>
      <c r="M202" s="44"/>
      <c r="N202" s="37">
        <f t="shared" si="33"/>
        <v>1.5</v>
      </c>
      <c r="O202" s="40"/>
      <c r="P202" s="40"/>
      <c r="Q202" s="67"/>
      <c r="R202" s="42">
        <f t="shared" si="34"/>
        <v>0</v>
      </c>
      <c r="S202" s="45">
        <f t="shared" si="35"/>
        <v>298.5</v>
      </c>
      <c r="T202" s="33">
        <f t="shared" si="36"/>
        <v>13</v>
      </c>
      <c r="U202" s="76"/>
      <c r="V202" s="3"/>
      <c r="W202" s="3"/>
      <c r="X202" s="3"/>
      <c r="Y202" s="3"/>
      <c r="Z202" s="3"/>
    </row>
    <row r="203">
      <c r="A203" s="102" t="s">
        <v>488</v>
      </c>
      <c r="B203" s="24">
        <f t="shared" si="31"/>
        <v>300</v>
      </c>
      <c r="C203" s="36">
        <v>30.0</v>
      </c>
      <c r="D203" s="37">
        <f t="shared" si="32"/>
        <v>300</v>
      </c>
      <c r="E203" s="38"/>
      <c r="F203" s="41"/>
      <c r="G203" s="40"/>
      <c r="H203" s="40"/>
      <c r="I203" s="41"/>
      <c r="J203" s="40"/>
      <c r="K203" s="44"/>
      <c r="L203" s="44"/>
      <c r="M203" s="41"/>
      <c r="N203" s="37">
        <f t="shared" si="33"/>
        <v>0</v>
      </c>
      <c r="O203" s="40"/>
      <c r="P203" s="40"/>
      <c r="Q203" s="67">
        <v>0.5</v>
      </c>
      <c r="R203" s="42">
        <f t="shared" si="34"/>
        <v>0.5</v>
      </c>
      <c r="S203" s="47">
        <f t="shared" si="35"/>
        <v>300.5</v>
      </c>
      <c r="T203" s="33">
        <f t="shared" si="36"/>
        <v>1</v>
      </c>
      <c r="U203" s="76"/>
      <c r="V203" s="3"/>
      <c r="W203" s="3"/>
      <c r="X203" s="3"/>
      <c r="Y203" s="3"/>
      <c r="Z203" s="3"/>
    </row>
    <row r="204">
      <c r="A204" s="103" t="s">
        <v>489</v>
      </c>
      <c r="B204" s="49">
        <f t="shared" si="31"/>
        <v>300</v>
      </c>
      <c r="C204" s="50">
        <v>30.0</v>
      </c>
      <c r="D204" s="51">
        <f t="shared" si="32"/>
        <v>300</v>
      </c>
      <c r="E204" s="68"/>
      <c r="F204" s="74"/>
      <c r="G204" s="53"/>
      <c r="H204" s="53"/>
      <c r="I204" s="68"/>
      <c r="J204" s="52"/>
      <c r="K204" s="74">
        <v>0.5</v>
      </c>
      <c r="L204" s="54"/>
      <c r="M204" s="74"/>
      <c r="N204" s="51">
        <f t="shared" si="33"/>
        <v>0.5</v>
      </c>
      <c r="O204" s="53"/>
      <c r="P204" s="53"/>
      <c r="Q204" s="69">
        <v>0.5</v>
      </c>
      <c r="R204" s="56">
        <f t="shared" si="34"/>
        <v>0.5</v>
      </c>
      <c r="S204" s="57">
        <f t="shared" si="35"/>
        <v>300</v>
      </c>
      <c r="T204" s="58">
        <f t="shared" si="36"/>
        <v>4</v>
      </c>
      <c r="U204" s="76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124"/>
      <c r="F205" s="104"/>
      <c r="G205" s="3"/>
      <c r="H205" s="3"/>
      <c r="I205" s="124"/>
      <c r="J205" s="3"/>
      <c r="K205" s="104"/>
      <c r="L205" s="104"/>
      <c r="M205" s="104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63"/>
      <c r="B206" s="63" t="s">
        <v>490</v>
      </c>
      <c r="C206" s="3"/>
      <c r="D206" s="3"/>
      <c r="E206" s="124"/>
      <c r="F206" s="104"/>
      <c r="G206" s="63"/>
      <c r="H206" s="3"/>
      <c r="I206" s="124"/>
      <c r="J206" s="62"/>
      <c r="K206" s="104"/>
      <c r="L206" s="105"/>
      <c r="M206" s="104"/>
      <c r="N206" s="62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65" t="s">
        <v>571</v>
      </c>
      <c r="C207" s="3"/>
      <c r="D207" s="3"/>
      <c r="E207" s="124"/>
      <c r="F207" s="104"/>
      <c r="G207" s="63"/>
      <c r="H207" s="3"/>
      <c r="I207" s="124"/>
      <c r="J207" s="62"/>
      <c r="K207" s="104"/>
      <c r="L207" s="107"/>
      <c r="M207" s="62" t="s">
        <v>353</v>
      </c>
      <c r="N207" s="92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65" t="s">
        <v>572</v>
      </c>
      <c r="C208" s="3"/>
      <c r="D208" s="3"/>
      <c r="E208" s="124"/>
      <c r="F208" s="104"/>
      <c r="G208" s="63"/>
      <c r="H208" s="3"/>
      <c r="I208" s="124"/>
      <c r="J208" s="63"/>
      <c r="K208" s="104"/>
      <c r="L208" s="107"/>
      <c r="M208" s="76" t="s">
        <v>573</v>
      </c>
      <c r="N208" s="112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65" t="s">
        <v>574</v>
      </c>
      <c r="C209" s="3"/>
      <c r="D209" s="3"/>
      <c r="E209" s="124"/>
      <c r="F209" s="104"/>
      <c r="G209" s="63"/>
      <c r="H209" s="3"/>
      <c r="I209" s="124"/>
      <c r="J209" s="63"/>
      <c r="K209" s="104"/>
      <c r="L209" s="107"/>
      <c r="M209" s="125"/>
      <c r="N209" s="112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65" t="s">
        <v>575</v>
      </c>
      <c r="C210" s="3"/>
      <c r="D210" s="3"/>
      <c r="E210" s="124"/>
      <c r="F210" s="104"/>
      <c r="G210" s="3"/>
      <c r="H210" s="3"/>
      <c r="I210" s="124"/>
      <c r="J210" s="3"/>
      <c r="K210" s="104"/>
      <c r="L210" s="104"/>
      <c r="M210" s="125"/>
      <c r="N210" s="3"/>
      <c r="O210" s="92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65" t="s">
        <v>576</v>
      </c>
      <c r="C211" s="3"/>
      <c r="D211" s="3"/>
      <c r="E211" s="124"/>
      <c r="F211" s="104"/>
      <c r="G211" s="3"/>
      <c r="H211" s="3"/>
      <c r="I211" s="124"/>
      <c r="J211" s="3"/>
      <c r="K211" s="104"/>
      <c r="L211" s="104"/>
      <c r="M211" s="125"/>
      <c r="N211" s="3"/>
      <c r="O211" s="64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65" t="s">
        <v>577</v>
      </c>
      <c r="C212" s="3"/>
      <c r="D212" s="3"/>
      <c r="E212" s="124"/>
      <c r="F212" s="104"/>
      <c r="G212" s="3"/>
      <c r="H212" s="3"/>
      <c r="I212" s="124"/>
      <c r="J212" s="3"/>
      <c r="K212" s="104"/>
      <c r="L212" s="104"/>
      <c r="M212" s="104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124"/>
      <c r="F213" s="104"/>
      <c r="G213" s="3"/>
      <c r="H213" s="3"/>
      <c r="I213" s="124"/>
      <c r="J213" s="3"/>
      <c r="K213" s="104"/>
      <c r="L213" s="104"/>
      <c r="M213" s="104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124"/>
      <c r="F214" s="104"/>
      <c r="G214" s="3"/>
      <c r="H214" s="3"/>
      <c r="I214" s="124"/>
      <c r="J214" s="3"/>
      <c r="K214" s="104"/>
      <c r="L214" s="104"/>
      <c r="M214" s="104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124"/>
      <c r="F215" s="104"/>
      <c r="G215" s="3"/>
      <c r="H215" s="3"/>
      <c r="I215" s="124"/>
      <c r="J215" s="3"/>
      <c r="K215" s="104"/>
      <c r="L215" s="104"/>
      <c r="M215" s="104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" t="s">
        <v>578</v>
      </c>
      <c r="U216" s="3"/>
      <c r="V216" s="3"/>
      <c r="W216" s="3"/>
      <c r="X216" s="3"/>
      <c r="Y216" s="3"/>
      <c r="Z216" s="3"/>
    </row>
    <row r="217">
      <c r="A217" s="1" t="s">
        <v>367</v>
      </c>
      <c r="U217" s="3"/>
      <c r="V217" s="3"/>
      <c r="W217" s="3"/>
      <c r="X217" s="3"/>
      <c r="Y217" s="3"/>
      <c r="Z217" s="3"/>
    </row>
    <row r="218">
      <c r="A218" s="2"/>
      <c r="B218" s="4"/>
      <c r="C218" s="2"/>
      <c r="D218" s="2"/>
      <c r="E218" s="78"/>
      <c r="F218" s="98"/>
      <c r="G218" s="2"/>
      <c r="H218" s="2"/>
      <c r="I218" s="78"/>
      <c r="J218" s="2"/>
      <c r="K218" s="98"/>
      <c r="L218" s="98"/>
      <c r="M218" s="98"/>
      <c r="N218" s="2"/>
      <c r="O218" s="2"/>
      <c r="P218" s="2"/>
      <c r="Q218" s="2"/>
      <c r="R218" s="2"/>
      <c r="S218" s="2"/>
      <c r="T218" s="2"/>
      <c r="U218" s="3"/>
      <c r="V218" s="3"/>
      <c r="W218" s="3"/>
      <c r="X218" s="3"/>
      <c r="Y218" s="3"/>
      <c r="Z218" s="3"/>
    </row>
    <row r="219">
      <c r="A219" s="8" t="s">
        <v>2</v>
      </c>
      <c r="B219" s="9" t="s">
        <v>3</v>
      </c>
      <c r="C219" s="10"/>
      <c r="D219" s="11"/>
      <c r="E219" s="12" t="s">
        <v>4</v>
      </c>
      <c r="F219" s="10"/>
      <c r="G219" s="10"/>
      <c r="H219" s="10"/>
      <c r="I219" s="10"/>
      <c r="J219" s="10"/>
      <c r="K219" s="10"/>
      <c r="L219" s="10"/>
      <c r="M219" s="10"/>
      <c r="N219" s="11"/>
      <c r="O219" s="13" t="s">
        <v>5</v>
      </c>
      <c r="P219" s="10"/>
      <c r="Q219" s="10"/>
      <c r="R219" s="11"/>
      <c r="S219" s="14" t="s">
        <v>6</v>
      </c>
      <c r="T219" s="14" t="s">
        <v>7</v>
      </c>
      <c r="U219" s="3"/>
      <c r="V219" s="3"/>
      <c r="W219" s="3"/>
      <c r="X219" s="3"/>
      <c r="Y219" s="3"/>
      <c r="Z219" s="3"/>
    </row>
    <row r="220">
      <c r="A220" s="15"/>
      <c r="B220" s="16" t="s">
        <v>8</v>
      </c>
      <c r="C220" s="17" t="s">
        <v>9</v>
      </c>
      <c r="D220" s="14" t="s">
        <v>10</v>
      </c>
      <c r="E220" s="17" t="s">
        <v>11</v>
      </c>
      <c r="F220" s="18" t="s">
        <v>12</v>
      </c>
      <c r="G220" s="17" t="s">
        <v>13</v>
      </c>
      <c r="H220" s="17" t="s">
        <v>14</v>
      </c>
      <c r="I220" s="17" t="s">
        <v>15</v>
      </c>
      <c r="J220" s="17" t="s">
        <v>16</v>
      </c>
      <c r="K220" s="18" t="s">
        <v>17</v>
      </c>
      <c r="L220" s="18" t="s">
        <v>18</v>
      </c>
      <c r="M220" s="18" t="s">
        <v>19</v>
      </c>
      <c r="N220" s="14" t="s">
        <v>20</v>
      </c>
      <c r="O220" s="17" t="s">
        <v>21</v>
      </c>
      <c r="P220" s="17" t="s">
        <v>22</v>
      </c>
      <c r="Q220" s="17" t="s">
        <v>23</v>
      </c>
      <c r="R220" s="14" t="s">
        <v>24</v>
      </c>
      <c r="S220" s="19"/>
      <c r="T220" s="19"/>
      <c r="U220" s="3"/>
      <c r="V220" s="3"/>
      <c r="W220" s="3"/>
      <c r="X220" s="3"/>
      <c r="Y220" s="3"/>
      <c r="Z220" s="3"/>
    </row>
    <row r="221">
      <c r="A221" s="20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3"/>
      <c r="V221" s="3"/>
      <c r="W221" s="3"/>
      <c r="X221" s="3"/>
      <c r="Y221" s="3"/>
      <c r="Z221" s="3"/>
    </row>
    <row r="222">
      <c r="A222" s="100">
        <v>12.0</v>
      </c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3"/>
      <c r="V222" s="3"/>
      <c r="W222" s="3"/>
      <c r="X222" s="3"/>
      <c r="Y222" s="3"/>
      <c r="Z222" s="3"/>
    </row>
    <row r="223">
      <c r="A223" s="101" t="s">
        <v>476</v>
      </c>
      <c r="B223" s="24">
        <f t="shared" ref="B223:B236" si="37">300-U223</f>
        <v>300</v>
      </c>
      <c r="C223" s="25">
        <v>30.0</v>
      </c>
      <c r="D223" s="26">
        <f t="shared" ref="D223:D236" si="38">B223</f>
        <v>300</v>
      </c>
      <c r="E223" s="28"/>
      <c r="F223" s="73">
        <v>0.5</v>
      </c>
      <c r="G223" s="29"/>
      <c r="H223" s="29"/>
      <c r="I223" s="28"/>
      <c r="J223" s="29"/>
      <c r="K223" s="30"/>
      <c r="L223" s="30"/>
      <c r="M223" s="73"/>
      <c r="N223" s="26">
        <f t="shared" ref="N223:N236" si="39">SUM(E223:M223)</f>
        <v>0.5</v>
      </c>
      <c r="O223" s="29"/>
      <c r="P223" s="29"/>
      <c r="Q223" s="83">
        <v>2.5</v>
      </c>
      <c r="R223" s="31">
        <f t="shared" ref="R223:R236" si="40">SUM(O223:Q223)</f>
        <v>2.5</v>
      </c>
      <c r="S223" s="32">
        <f t="shared" ref="S223:S236" si="41">D223-N223+R223</f>
        <v>302</v>
      </c>
      <c r="T223" s="33">
        <f t="shared" ref="T223:T236" si="42">RANK(S223,$S$223:$S$236,0)</f>
        <v>4</v>
      </c>
      <c r="U223" s="76"/>
      <c r="V223" s="3"/>
      <c r="W223" s="3"/>
      <c r="X223" s="3"/>
      <c r="Y223" s="3"/>
      <c r="Z223" s="3"/>
    </row>
    <row r="224">
      <c r="A224" s="102" t="s">
        <v>477</v>
      </c>
      <c r="B224" s="24">
        <f t="shared" si="37"/>
        <v>300</v>
      </c>
      <c r="C224" s="36">
        <v>30.0</v>
      </c>
      <c r="D224" s="37">
        <f t="shared" si="38"/>
        <v>300</v>
      </c>
      <c r="E224" s="39"/>
      <c r="F224" s="41"/>
      <c r="G224" s="40"/>
      <c r="H224" s="40"/>
      <c r="I224" s="41"/>
      <c r="J224" s="40"/>
      <c r="K224" s="44"/>
      <c r="L224" s="41"/>
      <c r="M224" s="41"/>
      <c r="N224" s="37">
        <f t="shared" si="39"/>
        <v>0</v>
      </c>
      <c r="O224" s="40"/>
      <c r="P224" s="40"/>
      <c r="Q224" s="67">
        <v>2.5</v>
      </c>
      <c r="R224" s="42">
        <f t="shared" si="40"/>
        <v>2.5</v>
      </c>
      <c r="S224" s="43">
        <f t="shared" si="41"/>
        <v>302.5</v>
      </c>
      <c r="T224" s="33">
        <f t="shared" si="42"/>
        <v>1</v>
      </c>
      <c r="U224" s="76"/>
      <c r="V224" s="3"/>
      <c r="W224" s="3"/>
      <c r="X224" s="3"/>
      <c r="Y224" s="3"/>
      <c r="Z224" s="3"/>
    </row>
    <row r="225">
      <c r="A225" s="102" t="s">
        <v>478</v>
      </c>
      <c r="B225" s="24">
        <f t="shared" si="37"/>
        <v>300</v>
      </c>
      <c r="C225" s="36">
        <v>30.0</v>
      </c>
      <c r="D225" s="37">
        <f t="shared" si="38"/>
        <v>300</v>
      </c>
      <c r="E225" s="39"/>
      <c r="F225" s="41">
        <v>0.5</v>
      </c>
      <c r="G225" s="40"/>
      <c r="H225" s="40"/>
      <c r="I225" s="39"/>
      <c r="J225" s="40"/>
      <c r="K225" s="44"/>
      <c r="L225" s="41"/>
      <c r="M225" s="44"/>
      <c r="N225" s="37">
        <f t="shared" si="39"/>
        <v>0.5</v>
      </c>
      <c r="O225" s="40"/>
      <c r="P225" s="40"/>
      <c r="Q225" s="67">
        <v>2.0</v>
      </c>
      <c r="R225" s="42">
        <f t="shared" si="40"/>
        <v>2</v>
      </c>
      <c r="S225" s="45">
        <f t="shared" si="41"/>
        <v>301.5</v>
      </c>
      <c r="T225" s="33">
        <f t="shared" si="42"/>
        <v>7</v>
      </c>
      <c r="U225" s="76"/>
      <c r="V225" s="3"/>
      <c r="W225" s="3"/>
      <c r="X225" s="3"/>
      <c r="Y225" s="3"/>
      <c r="Z225" s="3"/>
    </row>
    <row r="226">
      <c r="A226" s="102" t="s">
        <v>479</v>
      </c>
      <c r="B226" s="24">
        <f t="shared" si="37"/>
        <v>299</v>
      </c>
      <c r="C226" s="36">
        <v>30.0</v>
      </c>
      <c r="D226" s="37">
        <f t="shared" si="38"/>
        <v>299</v>
      </c>
      <c r="E226" s="39"/>
      <c r="F226" s="41"/>
      <c r="G226" s="40"/>
      <c r="H226" s="40"/>
      <c r="I226" s="39"/>
      <c r="J226" s="40"/>
      <c r="K226" s="44"/>
      <c r="L226" s="44"/>
      <c r="M226" s="41">
        <v>0.5</v>
      </c>
      <c r="N226" s="37">
        <f t="shared" si="39"/>
        <v>0.5</v>
      </c>
      <c r="O226" s="40"/>
      <c r="P226" s="40"/>
      <c r="Q226" s="67">
        <v>2.0</v>
      </c>
      <c r="R226" s="42">
        <f t="shared" si="40"/>
        <v>2</v>
      </c>
      <c r="S226" s="45">
        <f t="shared" si="41"/>
        <v>300.5</v>
      </c>
      <c r="T226" s="33">
        <f t="shared" si="42"/>
        <v>11</v>
      </c>
      <c r="U226" s="76">
        <v>1.0</v>
      </c>
      <c r="V226" s="3"/>
      <c r="W226" s="3"/>
      <c r="X226" s="3"/>
      <c r="Y226" s="3"/>
      <c r="Z226" s="3"/>
    </row>
    <row r="227">
      <c r="A227" s="102" t="s">
        <v>480</v>
      </c>
      <c r="B227" s="24">
        <f t="shared" si="37"/>
        <v>300</v>
      </c>
      <c r="C227" s="36">
        <v>30.0</v>
      </c>
      <c r="D227" s="37">
        <f t="shared" si="38"/>
        <v>300</v>
      </c>
      <c r="E227" s="38"/>
      <c r="F227" s="41"/>
      <c r="G227" s="40"/>
      <c r="H227" s="40"/>
      <c r="I227" s="39"/>
      <c r="J227" s="40"/>
      <c r="K227" s="44"/>
      <c r="L227" s="44"/>
      <c r="M227" s="41">
        <v>0.5</v>
      </c>
      <c r="N227" s="37">
        <f t="shared" si="39"/>
        <v>0.5</v>
      </c>
      <c r="O227" s="40"/>
      <c r="P227" s="40"/>
      <c r="Q227" s="67">
        <v>2.0</v>
      </c>
      <c r="R227" s="42">
        <f t="shared" si="40"/>
        <v>2</v>
      </c>
      <c r="S227" s="45">
        <f t="shared" si="41"/>
        <v>301.5</v>
      </c>
      <c r="T227" s="33">
        <f t="shared" si="42"/>
        <v>7</v>
      </c>
      <c r="U227" s="76"/>
      <c r="V227" s="3"/>
      <c r="W227" s="3"/>
      <c r="X227" s="3"/>
      <c r="Y227" s="3"/>
      <c r="Z227" s="3"/>
    </row>
    <row r="228">
      <c r="A228" s="102" t="s">
        <v>481</v>
      </c>
      <c r="B228" s="24">
        <f t="shared" si="37"/>
        <v>300</v>
      </c>
      <c r="C228" s="36">
        <v>30.0</v>
      </c>
      <c r="D228" s="37">
        <f t="shared" si="38"/>
        <v>300</v>
      </c>
      <c r="E228" s="39"/>
      <c r="F228" s="41"/>
      <c r="G228" s="40"/>
      <c r="H228" s="40"/>
      <c r="I228" s="39"/>
      <c r="J228" s="40"/>
      <c r="K228" s="44"/>
      <c r="L228" s="41"/>
      <c r="M228" s="41"/>
      <c r="N228" s="37">
        <f t="shared" si="39"/>
        <v>0</v>
      </c>
      <c r="O228" s="40"/>
      <c r="P228" s="40"/>
      <c r="Q228" s="67">
        <v>1.5</v>
      </c>
      <c r="R228" s="42">
        <f t="shared" si="40"/>
        <v>1.5</v>
      </c>
      <c r="S228" s="45">
        <f t="shared" si="41"/>
        <v>301.5</v>
      </c>
      <c r="T228" s="33">
        <f t="shared" si="42"/>
        <v>7</v>
      </c>
      <c r="U228" s="76"/>
      <c r="V228" s="3"/>
      <c r="W228" s="3"/>
      <c r="X228" s="3"/>
      <c r="Y228" s="3"/>
      <c r="Z228" s="3"/>
    </row>
    <row r="229">
      <c r="A229" s="102" t="s">
        <v>482</v>
      </c>
      <c r="B229" s="24">
        <f t="shared" si="37"/>
        <v>300</v>
      </c>
      <c r="C229" s="36">
        <v>30.0</v>
      </c>
      <c r="D229" s="37">
        <f t="shared" si="38"/>
        <v>300</v>
      </c>
      <c r="E229" s="39"/>
      <c r="F229" s="41">
        <v>0.5</v>
      </c>
      <c r="G229" s="40"/>
      <c r="H229" s="40"/>
      <c r="I229" s="39"/>
      <c r="J229" s="38"/>
      <c r="K229" s="44"/>
      <c r="L229" s="41"/>
      <c r="M229" s="41"/>
      <c r="N229" s="37">
        <f t="shared" si="39"/>
        <v>0.5</v>
      </c>
      <c r="O229" s="40"/>
      <c r="P229" s="40"/>
      <c r="Q229" s="67">
        <v>1.5</v>
      </c>
      <c r="R229" s="42">
        <f t="shared" si="40"/>
        <v>1.5</v>
      </c>
      <c r="S229" s="45">
        <f t="shared" si="41"/>
        <v>301</v>
      </c>
      <c r="T229" s="33">
        <f t="shared" si="42"/>
        <v>10</v>
      </c>
      <c r="U229" s="76"/>
      <c r="V229" s="3"/>
      <c r="W229" s="3"/>
      <c r="X229" s="3"/>
      <c r="Y229" s="3"/>
      <c r="Z229" s="3"/>
    </row>
    <row r="230">
      <c r="A230" s="102" t="s">
        <v>483</v>
      </c>
      <c r="B230" s="24">
        <f t="shared" si="37"/>
        <v>300</v>
      </c>
      <c r="C230" s="36">
        <v>30.0</v>
      </c>
      <c r="D230" s="37">
        <f t="shared" si="38"/>
        <v>300</v>
      </c>
      <c r="E230" s="39">
        <v>1.5</v>
      </c>
      <c r="F230" s="41"/>
      <c r="G230" s="40"/>
      <c r="H230" s="40"/>
      <c r="I230" s="41"/>
      <c r="J230" s="40"/>
      <c r="K230" s="44"/>
      <c r="L230" s="41"/>
      <c r="M230" s="41">
        <v>0.5</v>
      </c>
      <c r="N230" s="37">
        <f t="shared" si="39"/>
        <v>2</v>
      </c>
      <c r="O230" s="40"/>
      <c r="P230" s="40"/>
      <c r="Q230" s="67">
        <v>2.5</v>
      </c>
      <c r="R230" s="42">
        <f t="shared" si="40"/>
        <v>2.5</v>
      </c>
      <c r="S230" s="47">
        <f t="shared" si="41"/>
        <v>300.5</v>
      </c>
      <c r="T230" s="33">
        <f t="shared" si="42"/>
        <v>11</v>
      </c>
      <c r="U230" s="76"/>
      <c r="V230" s="3"/>
      <c r="W230" s="3"/>
      <c r="X230" s="3"/>
      <c r="Y230" s="3"/>
      <c r="Z230" s="3"/>
    </row>
    <row r="231">
      <c r="A231" s="102" t="s">
        <v>484</v>
      </c>
      <c r="B231" s="24">
        <f t="shared" si="37"/>
        <v>299</v>
      </c>
      <c r="C231" s="36">
        <v>30.0</v>
      </c>
      <c r="D231" s="37">
        <f t="shared" si="38"/>
        <v>299</v>
      </c>
      <c r="E231" s="39"/>
      <c r="F231" s="41"/>
      <c r="G231" s="40"/>
      <c r="H231" s="40"/>
      <c r="I231" s="39"/>
      <c r="J231" s="38"/>
      <c r="K231" s="44"/>
      <c r="L231" s="41"/>
      <c r="M231" s="41"/>
      <c r="N231" s="37">
        <f t="shared" si="39"/>
        <v>0</v>
      </c>
      <c r="O231" s="40"/>
      <c r="P231" s="40"/>
      <c r="Q231" s="67">
        <v>3.0</v>
      </c>
      <c r="R231" s="42">
        <f t="shared" si="40"/>
        <v>3</v>
      </c>
      <c r="S231" s="47">
        <f t="shared" si="41"/>
        <v>302</v>
      </c>
      <c r="T231" s="33">
        <f t="shared" si="42"/>
        <v>4</v>
      </c>
      <c r="U231" s="76">
        <v>1.0</v>
      </c>
      <c r="V231" s="3"/>
      <c r="W231" s="3"/>
      <c r="X231" s="3"/>
      <c r="Y231" s="3"/>
      <c r="Z231" s="3"/>
    </row>
    <row r="232">
      <c r="A232" s="102" t="s">
        <v>485</v>
      </c>
      <c r="B232" s="24">
        <f t="shared" si="37"/>
        <v>300</v>
      </c>
      <c r="C232" s="36">
        <v>30.0</v>
      </c>
      <c r="D232" s="37">
        <f t="shared" si="38"/>
        <v>300</v>
      </c>
      <c r="E232" s="38"/>
      <c r="F232" s="44"/>
      <c r="G232" s="40"/>
      <c r="H232" s="40"/>
      <c r="I232" s="39"/>
      <c r="J232" s="40"/>
      <c r="K232" s="41"/>
      <c r="L232" s="44"/>
      <c r="M232" s="41">
        <v>2.5</v>
      </c>
      <c r="N232" s="37">
        <f t="shared" si="39"/>
        <v>2.5</v>
      </c>
      <c r="O232" s="40"/>
      <c r="P232" s="40"/>
      <c r="Q232" s="67">
        <v>2.0</v>
      </c>
      <c r="R232" s="42">
        <f t="shared" si="40"/>
        <v>2</v>
      </c>
      <c r="S232" s="43">
        <f t="shared" si="41"/>
        <v>299.5</v>
      </c>
      <c r="T232" s="33">
        <f t="shared" si="42"/>
        <v>13</v>
      </c>
      <c r="U232" s="3"/>
      <c r="V232" s="3"/>
      <c r="W232" s="3"/>
      <c r="X232" s="3"/>
      <c r="Y232" s="3"/>
      <c r="Z232" s="3"/>
    </row>
    <row r="233">
      <c r="A233" s="102" t="s">
        <v>486</v>
      </c>
      <c r="B233" s="24">
        <f t="shared" si="37"/>
        <v>298</v>
      </c>
      <c r="C233" s="36">
        <v>30.0</v>
      </c>
      <c r="D233" s="37">
        <f t="shared" si="38"/>
        <v>298</v>
      </c>
      <c r="E233" s="39"/>
      <c r="F233" s="41">
        <v>1.0</v>
      </c>
      <c r="G233" s="40"/>
      <c r="H233" s="40"/>
      <c r="I233" s="39"/>
      <c r="J233" s="40"/>
      <c r="K233" s="44"/>
      <c r="L233" s="44"/>
      <c r="M233" s="41"/>
      <c r="N233" s="37">
        <f t="shared" si="39"/>
        <v>1</v>
      </c>
      <c r="O233" s="40"/>
      <c r="P233" s="40"/>
      <c r="Q233" s="67">
        <v>2.0</v>
      </c>
      <c r="R233" s="42">
        <f t="shared" si="40"/>
        <v>2</v>
      </c>
      <c r="S233" s="45">
        <f t="shared" si="41"/>
        <v>299</v>
      </c>
      <c r="T233" s="33">
        <f t="shared" si="42"/>
        <v>14</v>
      </c>
      <c r="U233" s="76">
        <v>2.0</v>
      </c>
      <c r="V233" s="3"/>
      <c r="W233" s="3"/>
      <c r="X233" s="3"/>
      <c r="Y233" s="3"/>
      <c r="Z233" s="3"/>
    </row>
    <row r="234">
      <c r="A234" s="102" t="s">
        <v>487</v>
      </c>
      <c r="B234" s="24">
        <f t="shared" si="37"/>
        <v>300</v>
      </c>
      <c r="C234" s="36">
        <v>30.0</v>
      </c>
      <c r="D234" s="37">
        <f t="shared" si="38"/>
        <v>300</v>
      </c>
      <c r="E234" s="39"/>
      <c r="F234" s="44"/>
      <c r="G234" s="40"/>
      <c r="H234" s="40"/>
      <c r="I234" s="39"/>
      <c r="J234" s="40"/>
      <c r="K234" s="44"/>
      <c r="L234" s="44"/>
      <c r="M234" s="44"/>
      <c r="N234" s="37">
        <f t="shared" si="39"/>
        <v>0</v>
      </c>
      <c r="O234" s="40"/>
      <c r="P234" s="40"/>
      <c r="Q234" s="67">
        <v>2.5</v>
      </c>
      <c r="R234" s="42">
        <f t="shared" si="40"/>
        <v>2.5</v>
      </c>
      <c r="S234" s="45">
        <f t="shared" si="41"/>
        <v>302.5</v>
      </c>
      <c r="T234" s="33">
        <f t="shared" si="42"/>
        <v>1</v>
      </c>
      <c r="U234" s="76"/>
      <c r="V234" s="3"/>
      <c r="W234" s="3"/>
      <c r="X234" s="3"/>
      <c r="Y234" s="3"/>
      <c r="Z234" s="3"/>
    </row>
    <row r="235">
      <c r="A235" s="102" t="s">
        <v>488</v>
      </c>
      <c r="B235" s="24">
        <f t="shared" si="37"/>
        <v>300</v>
      </c>
      <c r="C235" s="36">
        <v>30.0</v>
      </c>
      <c r="D235" s="37">
        <f t="shared" si="38"/>
        <v>300</v>
      </c>
      <c r="E235" s="39"/>
      <c r="F235" s="41"/>
      <c r="G235" s="40"/>
      <c r="H235" s="40"/>
      <c r="I235" s="41"/>
      <c r="J235" s="40"/>
      <c r="K235" s="44"/>
      <c r="L235" s="44"/>
      <c r="M235" s="41">
        <v>0.5</v>
      </c>
      <c r="N235" s="37">
        <f t="shared" si="39"/>
        <v>0.5</v>
      </c>
      <c r="O235" s="40"/>
      <c r="P235" s="40"/>
      <c r="Q235" s="67">
        <v>2.5</v>
      </c>
      <c r="R235" s="42">
        <f t="shared" si="40"/>
        <v>2.5</v>
      </c>
      <c r="S235" s="47">
        <f t="shared" si="41"/>
        <v>302</v>
      </c>
      <c r="T235" s="33">
        <f t="shared" si="42"/>
        <v>4</v>
      </c>
      <c r="U235" s="76"/>
      <c r="V235" s="3"/>
      <c r="W235" s="3"/>
      <c r="X235" s="3"/>
      <c r="Y235" s="3"/>
      <c r="Z235" s="3"/>
    </row>
    <row r="236">
      <c r="A236" s="103" t="s">
        <v>489</v>
      </c>
      <c r="B236" s="49">
        <f t="shared" si="37"/>
        <v>300</v>
      </c>
      <c r="C236" s="50">
        <v>30.0</v>
      </c>
      <c r="D236" s="51">
        <f t="shared" si="38"/>
        <v>300</v>
      </c>
      <c r="E236" s="68"/>
      <c r="F236" s="74"/>
      <c r="G236" s="53"/>
      <c r="H236" s="53"/>
      <c r="I236" s="68"/>
      <c r="J236" s="52"/>
      <c r="K236" s="74"/>
      <c r="L236" s="54"/>
      <c r="M236" s="74"/>
      <c r="N236" s="51">
        <f t="shared" si="39"/>
        <v>0</v>
      </c>
      <c r="O236" s="53"/>
      <c r="P236" s="53"/>
      <c r="Q236" s="69">
        <v>2.5</v>
      </c>
      <c r="R236" s="56">
        <f t="shared" si="40"/>
        <v>2.5</v>
      </c>
      <c r="S236" s="57">
        <f t="shared" si="41"/>
        <v>302.5</v>
      </c>
      <c r="T236" s="58">
        <f t="shared" si="42"/>
        <v>1</v>
      </c>
      <c r="U236" s="76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124"/>
      <c r="F237" s="104"/>
      <c r="G237" s="3"/>
      <c r="H237" s="3"/>
      <c r="I237" s="124"/>
      <c r="J237" s="3"/>
      <c r="K237" s="104"/>
      <c r="L237" s="104"/>
      <c r="M237" s="104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63"/>
      <c r="B238" s="63" t="s">
        <v>490</v>
      </c>
      <c r="C238" s="3"/>
      <c r="D238" s="3"/>
      <c r="E238" s="124"/>
      <c r="F238" s="104"/>
      <c r="G238" s="63" t="s">
        <v>579</v>
      </c>
      <c r="H238" s="3"/>
      <c r="I238" s="124"/>
      <c r="J238" s="62"/>
      <c r="K238" s="104"/>
      <c r="L238" s="105"/>
      <c r="M238" s="104"/>
      <c r="N238" s="62" t="s">
        <v>370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63"/>
      <c r="B239" s="65" t="s">
        <v>580</v>
      </c>
      <c r="C239" s="3"/>
      <c r="D239" s="3"/>
      <c r="E239" s="124"/>
      <c r="F239" s="104"/>
      <c r="G239" s="63"/>
      <c r="H239" s="3"/>
      <c r="I239" s="124"/>
      <c r="J239" s="62"/>
      <c r="K239" s="104"/>
      <c r="L239" s="105"/>
      <c r="M239" s="104"/>
      <c r="N239" s="76" t="s">
        <v>581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65" t="s">
        <v>582</v>
      </c>
      <c r="C240" s="3"/>
      <c r="D240" s="3"/>
      <c r="E240" s="124"/>
      <c r="F240" s="104"/>
      <c r="G240" s="63"/>
      <c r="H240" s="3"/>
      <c r="I240" s="124"/>
      <c r="J240" s="63"/>
      <c r="K240" s="104"/>
      <c r="L240" s="107"/>
      <c r="M240" s="76"/>
      <c r="N240" s="112" t="s">
        <v>583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65" t="s">
        <v>584</v>
      </c>
      <c r="C241" s="3"/>
      <c r="D241" s="3"/>
      <c r="E241" s="124"/>
      <c r="F241" s="104"/>
      <c r="G241" s="63"/>
      <c r="H241" s="3"/>
      <c r="I241" s="124"/>
      <c r="J241" s="63"/>
      <c r="K241" s="104"/>
      <c r="L241" s="107"/>
      <c r="M241" s="125"/>
      <c r="N241" s="112" t="s">
        <v>585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65" t="s">
        <v>586</v>
      </c>
      <c r="C242" s="3"/>
      <c r="D242" s="3"/>
      <c r="E242" s="124"/>
      <c r="F242" s="104"/>
      <c r="G242" s="63"/>
      <c r="H242" s="3"/>
      <c r="I242" s="124"/>
      <c r="J242" s="63"/>
      <c r="K242" s="104"/>
      <c r="L242" s="107"/>
      <c r="M242" s="125"/>
      <c r="N242" s="112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65" t="s">
        <v>587</v>
      </c>
      <c r="C243" s="3"/>
      <c r="D243" s="3"/>
      <c r="E243" s="124"/>
      <c r="F243" s="104"/>
      <c r="G243" s="3"/>
      <c r="H243" s="3"/>
      <c r="I243" s="124"/>
      <c r="J243" s="3"/>
      <c r="K243" s="104"/>
      <c r="L243" s="104"/>
      <c r="M243" s="125"/>
      <c r="N243" s="70" t="s">
        <v>376</v>
      </c>
      <c r="O243" s="92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65" t="s">
        <v>588</v>
      </c>
      <c r="C244" s="3"/>
      <c r="D244" s="3"/>
      <c r="E244" s="124"/>
      <c r="F244" s="104"/>
      <c r="G244" s="3"/>
      <c r="H244" s="3"/>
      <c r="I244" s="124"/>
      <c r="J244" s="3"/>
      <c r="K244" s="104"/>
      <c r="L244" s="104"/>
      <c r="M244" s="125"/>
      <c r="N244" s="94" t="s">
        <v>589</v>
      </c>
      <c r="O244" s="92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65" t="s">
        <v>590</v>
      </c>
      <c r="C245" s="3"/>
      <c r="D245" s="3"/>
      <c r="E245" s="124"/>
      <c r="F245" s="104"/>
      <c r="G245" s="3"/>
      <c r="H245" s="3"/>
      <c r="I245" s="124"/>
      <c r="J245" s="3"/>
      <c r="K245" s="104"/>
      <c r="L245" s="104"/>
      <c r="M245" s="125"/>
      <c r="N245" s="3"/>
      <c r="O245" s="92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65" t="s">
        <v>591</v>
      </c>
      <c r="C246" s="3"/>
      <c r="D246" s="3"/>
      <c r="E246" s="124"/>
      <c r="F246" s="104"/>
      <c r="G246" s="3"/>
      <c r="H246" s="3"/>
      <c r="I246" s="124"/>
      <c r="J246" s="3"/>
      <c r="K246" s="104"/>
      <c r="L246" s="104"/>
      <c r="M246" s="104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124"/>
      <c r="F247" s="104"/>
      <c r="G247" s="3"/>
      <c r="H247" s="3"/>
      <c r="I247" s="124"/>
      <c r="J247" s="3"/>
      <c r="K247" s="104"/>
      <c r="L247" s="104"/>
      <c r="M247" s="104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124"/>
      <c r="F248" s="104"/>
      <c r="G248" s="3"/>
      <c r="H248" s="3"/>
      <c r="I248" s="124"/>
      <c r="J248" s="3"/>
      <c r="K248" s="104"/>
      <c r="L248" s="104"/>
      <c r="M248" s="104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124"/>
      <c r="F249" s="104"/>
      <c r="G249" s="3"/>
      <c r="H249" s="3"/>
      <c r="I249" s="124"/>
      <c r="J249" s="3"/>
      <c r="K249" s="104"/>
      <c r="L249" s="104"/>
      <c r="M249" s="104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" t="s">
        <v>592</v>
      </c>
      <c r="U250" s="3"/>
      <c r="V250" s="3"/>
      <c r="W250" s="3"/>
      <c r="X250" s="3"/>
      <c r="Y250" s="3"/>
      <c r="Z250" s="3"/>
    </row>
    <row r="251">
      <c r="A251" s="1" t="s">
        <v>135</v>
      </c>
      <c r="U251" s="3"/>
      <c r="V251" s="3"/>
      <c r="W251" s="3"/>
      <c r="X251" s="3"/>
      <c r="Y251" s="3"/>
      <c r="Z251" s="3"/>
    </row>
    <row r="252">
      <c r="A252" s="2"/>
      <c r="B252" s="4"/>
      <c r="C252" s="2"/>
      <c r="D252" s="2"/>
      <c r="E252" s="78"/>
      <c r="F252" s="98"/>
      <c r="G252" s="2"/>
      <c r="H252" s="2"/>
      <c r="I252" s="78"/>
      <c r="J252" s="2"/>
      <c r="K252" s="98"/>
      <c r="L252" s="98"/>
      <c r="M252" s="98"/>
      <c r="N252" s="2"/>
      <c r="O252" s="2"/>
      <c r="P252" s="2"/>
      <c r="Q252" s="2"/>
      <c r="R252" s="2"/>
      <c r="S252" s="2"/>
      <c r="T252" s="2"/>
      <c r="U252" s="3"/>
      <c r="V252" s="3"/>
      <c r="W252" s="3"/>
      <c r="X252" s="3"/>
      <c r="Y252" s="3"/>
      <c r="Z252" s="3"/>
    </row>
    <row r="253">
      <c r="A253" s="8" t="s">
        <v>2</v>
      </c>
      <c r="B253" s="9" t="s">
        <v>3</v>
      </c>
      <c r="C253" s="10"/>
      <c r="D253" s="11"/>
      <c r="E253" s="12" t="s">
        <v>4</v>
      </c>
      <c r="F253" s="10"/>
      <c r="G253" s="10"/>
      <c r="H253" s="10"/>
      <c r="I253" s="10"/>
      <c r="J253" s="10"/>
      <c r="K253" s="10"/>
      <c r="L253" s="10"/>
      <c r="M253" s="10"/>
      <c r="N253" s="11"/>
      <c r="O253" s="13" t="s">
        <v>5</v>
      </c>
      <c r="P253" s="10"/>
      <c r="Q253" s="10"/>
      <c r="R253" s="11"/>
      <c r="S253" s="14" t="s">
        <v>6</v>
      </c>
      <c r="T253" s="14" t="s">
        <v>7</v>
      </c>
      <c r="U253" s="3"/>
      <c r="V253" s="3"/>
      <c r="W253" s="3"/>
      <c r="X253" s="3"/>
      <c r="Y253" s="3"/>
      <c r="Z253" s="3"/>
    </row>
    <row r="254">
      <c r="A254" s="15"/>
      <c r="B254" s="16" t="s">
        <v>8</v>
      </c>
      <c r="C254" s="17" t="s">
        <v>9</v>
      </c>
      <c r="D254" s="14" t="s">
        <v>10</v>
      </c>
      <c r="E254" s="17" t="s">
        <v>11</v>
      </c>
      <c r="F254" s="18" t="s">
        <v>12</v>
      </c>
      <c r="G254" s="17" t="s">
        <v>13</v>
      </c>
      <c r="H254" s="17" t="s">
        <v>14</v>
      </c>
      <c r="I254" s="17" t="s">
        <v>15</v>
      </c>
      <c r="J254" s="17" t="s">
        <v>16</v>
      </c>
      <c r="K254" s="18" t="s">
        <v>17</v>
      </c>
      <c r="L254" s="18" t="s">
        <v>18</v>
      </c>
      <c r="M254" s="18" t="s">
        <v>19</v>
      </c>
      <c r="N254" s="14" t="s">
        <v>20</v>
      </c>
      <c r="O254" s="17" t="s">
        <v>21</v>
      </c>
      <c r="P254" s="17" t="s">
        <v>22</v>
      </c>
      <c r="Q254" s="17" t="s">
        <v>23</v>
      </c>
      <c r="R254" s="14" t="s">
        <v>24</v>
      </c>
      <c r="S254" s="19"/>
      <c r="T254" s="19"/>
      <c r="U254" s="3"/>
      <c r="V254" s="3"/>
      <c r="W254" s="3"/>
      <c r="X254" s="3"/>
      <c r="Y254" s="3"/>
      <c r="Z254" s="3"/>
    </row>
    <row r="255">
      <c r="A255" s="20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3"/>
      <c r="V255" s="3"/>
      <c r="W255" s="3"/>
      <c r="X255" s="3"/>
      <c r="Y255" s="3"/>
      <c r="Z255" s="3"/>
    </row>
    <row r="256">
      <c r="A256" s="100">
        <v>12.0</v>
      </c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3"/>
      <c r="V256" s="3"/>
      <c r="W256" s="3"/>
      <c r="X256" s="3"/>
      <c r="Y256" s="3"/>
      <c r="Z256" s="3"/>
    </row>
    <row r="257">
      <c r="A257" s="101" t="s">
        <v>476</v>
      </c>
      <c r="B257" s="24">
        <f t="shared" ref="B257:B270" si="43">300-U257</f>
        <v>300</v>
      </c>
      <c r="C257" s="25">
        <v>30.0</v>
      </c>
      <c r="D257" s="26">
        <f t="shared" ref="D257:D270" si="44">B257</f>
        <v>300</v>
      </c>
      <c r="E257" s="28"/>
      <c r="F257" s="73"/>
      <c r="G257" s="29"/>
      <c r="H257" s="29"/>
      <c r="I257" s="28"/>
      <c r="J257" s="29"/>
      <c r="K257" s="30"/>
      <c r="L257" s="30"/>
      <c r="M257" s="73"/>
      <c r="N257" s="26">
        <f t="shared" ref="N257:N270" si="45">SUM(E257:M257)</f>
        <v>0</v>
      </c>
      <c r="O257" s="29"/>
      <c r="P257" s="29"/>
      <c r="Q257" s="83"/>
      <c r="R257" s="31">
        <f t="shared" ref="R257:R270" si="46">SUM(O257:Q257)</f>
        <v>0</v>
      </c>
      <c r="S257" s="32">
        <f t="shared" ref="S257:S270" si="47">D257-N257+R257</f>
        <v>300</v>
      </c>
      <c r="T257" s="33">
        <f t="shared" ref="T257:T270" si="48">RANK(S257,$S$257:$S$270,0)</f>
        <v>1</v>
      </c>
      <c r="U257" s="76"/>
      <c r="V257" s="3"/>
      <c r="W257" s="3"/>
      <c r="X257" s="3"/>
      <c r="Y257" s="3"/>
      <c r="Z257" s="3"/>
    </row>
    <row r="258">
      <c r="A258" s="102" t="s">
        <v>477</v>
      </c>
      <c r="B258" s="24">
        <f t="shared" si="43"/>
        <v>299</v>
      </c>
      <c r="C258" s="36">
        <v>30.0</v>
      </c>
      <c r="D258" s="37">
        <f t="shared" si="44"/>
        <v>299</v>
      </c>
      <c r="E258" s="39"/>
      <c r="F258" s="41">
        <v>0.5</v>
      </c>
      <c r="G258" s="40"/>
      <c r="H258" s="40"/>
      <c r="I258" s="41"/>
      <c r="J258" s="40"/>
      <c r="K258" s="44"/>
      <c r="L258" s="41"/>
      <c r="M258" s="41">
        <v>0.5</v>
      </c>
      <c r="N258" s="37">
        <f t="shared" si="45"/>
        <v>1</v>
      </c>
      <c r="O258" s="40"/>
      <c r="P258" s="40"/>
      <c r="Q258" s="67"/>
      <c r="R258" s="42">
        <f t="shared" si="46"/>
        <v>0</v>
      </c>
      <c r="S258" s="43">
        <f t="shared" si="47"/>
        <v>298</v>
      </c>
      <c r="T258" s="33">
        <f t="shared" si="48"/>
        <v>11</v>
      </c>
      <c r="U258" s="76">
        <v>1.0</v>
      </c>
      <c r="V258" s="3"/>
      <c r="W258" s="3"/>
      <c r="X258" s="3"/>
      <c r="Y258" s="3"/>
      <c r="Z258" s="3"/>
    </row>
    <row r="259">
      <c r="A259" s="102" t="s">
        <v>478</v>
      </c>
      <c r="B259" s="24">
        <f t="shared" si="43"/>
        <v>300</v>
      </c>
      <c r="C259" s="36">
        <v>30.0</v>
      </c>
      <c r="D259" s="37">
        <f t="shared" si="44"/>
        <v>300</v>
      </c>
      <c r="E259" s="39"/>
      <c r="F259" s="41"/>
      <c r="G259" s="40"/>
      <c r="H259" s="40"/>
      <c r="I259" s="39"/>
      <c r="J259" s="40"/>
      <c r="K259" s="44"/>
      <c r="L259" s="41"/>
      <c r="M259" s="44"/>
      <c r="N259" s="37">
        <f t="shared" si="45"/>
        <v>0</v>
      </c>
      <c r="O259" s="40"/>
      <c r="P259" s="40"/>
      <c r="Q259" s="67"/>
      <c r="R259" s="42">
        <f t="shared" si="46"/>
        <v>0</v>
      </c>
      <c r="S259" s="45">
        <f t="shared" si="47"/>
        <v>300</v>
      </c>
      <c r="T259" s="33">
        <f t="shared" si="48"/>
        <v>1</v>
      </c>
      <c r="U259" s="76"/>
      <c r="V259" s="3"/>
      <c r="W259" s="3"/>
      <c r="X259" s="3"/>
      <c r="Y259" s="3"/>
      <c r="Z259" s="3"/>
    </row>
    <row r="260">
      <c r="A260" s="102" t="s">
        <v>479</v>
      </c>
      <c r="B260" s="24">
        <f t="shared" si="43"/>
        <v>300</v>
      </c>
      <c r="C260" s="36">
        <v>30.0</v>
      </c>
      <c r="D260" s="37">
        <f t="shared" si="44"/>
        <v>300</v>
      </c>
      <c r="E260" s="39"/>
      <c r="F260" s="41"/>
      <c r="G260" s="40"/>
      <c r="H260" s="40"/>
      <c r="I260" s="41">
        <v>0.5</v>
      </c>
      <c r="J260" s="40"/>
      <c r="K260" s="44"/>
      <c r="L260" s="44"/>
      <c r="M260" s="41"/>
      <c r="N260" s="37">
        <f t="shared" si="45"/>
        <v>0.5</v>
      </c>
      <c r="O260" s="40"/>
      <c r="P260" s="40"/>
      <c r="Q260" s="67"/>
      <c r="R260" s="42">
        <f t="shared" si="46"/>
        <v>0</v>
      </c>
      <c r="S260" s="45">
        <f t="shared" si="47"/>
        <v>299.5</v>
      </c>
      <c r="T260" s="33">
        <f t="shared" si="48"/>
        <v>8</v>
      </c>
      <c r="U260" s="76"/>
      <c r="V260" s="3"/>
      <c r="W260" s="3"/>
      <c r="X260" s="3"/>
      <c r="Y260" s="3"/>
      <c r="Z260" s="3"/>
    </row>
    <row r="261">
      <c r="A261" s="102" t="s">
        <v>480</v>
      </c>
      <c r="B261" s="24">
        <f t="shared" si="43"/>
        <v>300</v>
      </c>
      <c r="C261" s="36">
        <v>30.0</v>
      </c>
      <c r="D261" s="37">
        <f t="shared" si="44"/>
        <v>300</v>
      </c>
      <c r="E261" s="38"/>
      <c r="F261" s="41"/>
      <c r="G261" s="40"/>
      <c r="H261" s="40"/>
      <c r="I261" s="39"/>
      <c r="J261" s="40"/>
      <c r="K261" s="44"/>
      <c r="L261" s="44"/>
      <c r="M261" s="41">
        <v>0.5</v>
      </c>
      <c r="N261" s="37">
        <f t="shared" si="45"/>
        <v>0.5</v>
      </c>
      <c r="O261" s="40"/>
      <c r="P261" s="40"/>
      <c r="Q261" s="67"/>
      <c r="R261" s="42">
        <f t="shared" si="46"/>
        <v>0</v>
      </c>
      <c r="S261" s="45">
        <f t="shared" si="47"/>
        <v>299.5</v>
      </c>
      <c r="T261" s="33">
        <f t="shared" si="48"/>
        <v>8</v>
      </c>
      <c r="U261" s="76"/>
      <c r="V261" s="3"/>
      <c r="W261" s="3"/>
      <c r="X261" s="3"/>
      <c r="Y261" s="3"/>
      <c r="Z261" s="3"/>
    </row>
    <row r="262">
      <c r="A262" s="102" t="s">
        <v>481</v>
      </c>
      <c r="B262" s="24">
        <f t="shared" si="43"/>
        <v>300</v>
      </c>
      <c r="C262" s="36">
        <v>30.0</v>
      </c>
      <c r="D262" s="37">
        <f t="shared" si="44"/>
        <v>300</v>
      </c>
      <c r="E262" s="39">
        <v>1.5</v>
      </c>
      <c r="F262" s="41"/>
      <c r="G262" s="40"/>
      <c r="H262" s="40"/>
      <c r="I262" s="39"/>
      <c r="J262" s="40"/>
      <c r="K262" s="44"/>
      <c r="L262" s="41"/>
      <c r="M262" s="41"/>
      <c r="N262" s="37">
        <f t="shared" si="45"/>
        <v>1.5</v>
      </c>
      <c r="O262" s="40"/>
      <c r="P262" s="40"/>
      <c r="Q262" s="67"/>
      <c r="R262" s="42">
        <f t="shared" si="46"/>
        <v>0</v>
      </c>
      <c r="S262" s="45">
        <f t="shared" si="47"/>
        <v>298.5</v>
      </c>
      <c r="T262" s="33">
        <f t="shared" si="48"/>
        <v>10</v>
      </c>
      <c r="U262" s="76"/>
      <c r="V262" s="3"/>
      <c r="W262" s="3"/>
      <c r="X262" s="3"/>
      <c r="Y262" s="3"/>
      <c r="Z262" s="3"/>
    </row>
    <row r="263">
      <c r="A263" s="102" t="s">
        <v>482</v>
      </c>
      <c r="B263" s="24">
        <f t="shared" si="43"/>
        <v>298</v>
      </c>
      <c r="C263" s="36">
        <v>30.0</v>
      </c>
      <c r="D263" s="37">
        <f t="shared" si="44"/>
        <v>298</v>
      </c>
      <c r="E263" s="39"/>
      <c r="F263" s="41"/>
      <c r="G263" s="40"/>
      <c r="H263" s="40"/>
      <c r="I263" s="39"/>
      <c r="J263" s="38"/>
      <c r="K263" s="44"/>
      <c r="L263" s="41"/>
      <c r="M263" s="41"/>
      <c r="N263" s="37">
        <f t="shared" si="45"/>
        <v>0</v>
      </c>
      <c r="O263" s="40"/>
      <c r="P263" s="40"/>
      <c r="Q263" s="67"/>
      <c r="R263" s="42">
        <f t="shared" si="46"/>
        <v>0</v>
      </c>
      <c r="S263" s="45">
        <f t="shared" si="47"/>
        <v>298</v>
      </c>
      <c r="T263" s="33">
        <f t="shared" si="48"/>
        <v>11</v>
      </c>
      <c r="U263" s="76">
        <v>2.0</v>
      </c>
      <c r="V263" s="3"/>
      <c r="W263" s="3"/>
      <c r="X263" s="3"/>
      <c r="Y263" s="3"/>
      <c r="Z263" s="3"/>
    </row>
    <row r="264">
      <c r="A264" s="102" t="s">
        <v>483</v>
      </c>
      <c r="B264" s="24">
        <f t="shared" si="43"/>
        <v>300</v>
      </c>
      <c r="C264" s="36">
        <v>30.0</v>
      </c>
      <c r="D264" s="37">
        <f t="shared" si="44"/>
        <v>300</v>
      </c>
      <c r="E264" s="39">
        <v>4.5</v>
      </c>
      <c r="F264" s="41"/>
      <c r="G264" s="40"/>
      <c r="H264" s="40"/>
      <c r="I264" s="41"/>
      <c r="J264" s="40"/>
      <c r="K264" s="44"/>
      <c r="L264" s="41"/>
      <c r="M264" s="41"/>
      <c r="N264" s="37">
        <f t="shared" si="45"/>
        <v>4.5</v>
      </c>
      <c r="O264" s="40"/>
      <c r="P264" s="40"/>
      <c r="Q264" s="67"/>
      <c r="R264" s="42">
        <f t="shared" si="46"/>
        <v>0</v>
      </c>
      <c r="S264" s="47">
        <f t="shared" si="47"/>
        <v>295.5</v>
      </c>
      <c r="T264" s="33">
        <f t="shared" si="48"/>
        <v>14</v>
      </c>
      <c r="U264" s="76"/>
      <c r="V264" s="3"/>
      <c r="W264" s="3"/>
      <c r="X264" s="3"/>
      <c r="Y264" s="3"/>
      <c r="Z264" s="3"/>
    </row>
    <row r="265">
      <c r="A265" s="102" t="s">
        <v>484</v>
      </c>
      <c r="B265" s="24">
        <f t="shared" si="43"/>
        <v>300</v>
      </c>
      <c r="C265" s="36">
        <v>30.0</v>
      </c>
      <c r="D265" s="37">
        <f t="shared" si="44"/>
        <v>300</v>
      </c>
      <c r="E265" s="39"/>
      <c r="F265" s="41"/>
      <c r="G265" s="40"/>
      <c r="H265" s="40"/>
      <c r="I265" s="39"/>
      <c r="J265" s="38"/>
      <c r="K265" s="44"/>
      <c r="L265" s="41"/>
      <c r="M265" s="41"/>
      <c r="N265" s="37">
        <f t="shared" si="45"/>
        <v>0</v>
      </c>
      <c r="O265" s="40"/>
      <c r="P265" s="40"/>
      <c r="Q265" s="67"/>
      <c r="R265" s="42">
        <f t="shared" si="46"/>
        <v>0</v>
      </c>
      <c r="S265" s="47">
        <f t="shared" si="47"/>
        <v>300</v>
      </c>
      <c r="T265" s="33">
        <f t="shared" si="48"/>
        <v>1</v>
      </c>
      <c r="U265" s="76"/>
      <c r="V265" s="3"/>
      <c r="W265" s="3"/>
      <c r="X265" s="3"/>
      <c r="Y265" s="3"/>
      <c r="Z265" s="3"/>
    </row>
    <row r="266">
      <c r="A266" s="102" t="s">
        <v>485</v>
      </c>
      <c r="B266" s="24">
        <f t="shared" si="43"/>
        <v>298</v>
      </c>
      <c r="C266" s="36">
        <v>30.0</v>
      </c>
      <c r="D266" s="37">
        <f t="shared" si="44"/>
        <v>298</v>
      </c>
      <c r="E266" s="38"/>
      <c r="F266" s="44"/>
      <c r="G266" s="40"/>
      <c r="H266" s="40"/>
      <c r="I266" s="39"/>
      <c r="J266" s="40"/>
      <c r="K266" s="41"/>
      <c r="L266" s="44"/>
      <c r="M266" s="41"/>
      <c r="N266" s="37">
        <f t="shared" si="45"/>
        <v>0</v>
      </c>
      <c r="O266" s="40"/>
      <c r="P266" s="40"/>
      <c r="Q266" s="67"/>
      <c r="R266" s="42">
        <f t="shared" si="46"/>
        <v>0</v>
      </c>
      <c r="S266" s="43">
        <f t="shared" si="47"/>
        <v>298</v>
      </c>
      <c r="T266" s="33">
        <f t="shared" si="48"/>
        <v>11</v>
      </c>
      <c r="U266" s="65">
        <v>2.0</v>
      </c>
      <c r="V266" s="3"/>
      <c r="W266" s="3"/>
      <c r="X266" s="3"/>
      <c r="Y266" s="3"/>
      <c r="Z266" s="3"/>
    </row>
    <row r="267">
      <c r="A267" s="102" t="s">
        <v>486</v>
      </c>
      <c r="B267" s="24">
        <f t="shared" si="43"/>
        <v>300</v>
      </c>
      <c r="C267" s="36">
        <v>30.0</v>
      </c>
      <c r="D267" s="37">
        <f t="shared" si="44"/>
        <v>300</v>
      </c>
      <c r="E267" s="39"/>
      <c r="F267" s="41"/>
      <c r="G267" s="40"/>
      <c r="H267" s="40"/>
      <c r="I267" s="39"/>
      <c r="J267" s="40"/>
      <c r="K267" s="44"/>
      <c r="L267" s="44"/>
      <c r="M267" s="41"/>
      <c r="N267" s="37">
        <f t="shared" si="45"/>
        <v>0</v>
      </c>
      <c r="O267" s="40"/>
      <c r="P267" s="40"/>
      <c r="Q267" s="67"/>
      <c r="R267" s="42">
        <f t="shared" si="46"/>
        <v>0</v>
      </c>
      <c r="S267" s="45">
        <f t="shared" si="47"/>
        <v>300</v>
      </c>
      <c r="T267" s="33">
        <f t="shared" si="48"/>
        <v>1</v>
      </c>
      <c r="U267" s="76"/>
      <c r="V267" s="3"/>
      <c r="W267" s="3"/>
      <c r="X267" s="3"/>
      <c r="Y267" s="3"/>
      <c r="Z267" s="3"/>
    </row>
    <row r="268">
      <c r="A268" s="102" t="s">
        <v>487</v>
      </c>
      <c r="B268" s="24">
        <f t="shared" si="43"/>
        <v>300</v>
      </c>
      <c r="C268" s="36">
        <v>30.0</v>
      </c>
      <c r="D268" s="37">
        <f t="shared" si="44"/>
        <v>300</v>
      </c>
      <c r="E268" s="39"/>
      <c r="F268" s="44"/>
      <c r="G268" s="40"/>
      <c r="H268" s="40"/>
      <c r="I268" s="39"/>
      <c r="J268" s="40"/>
      <c r="K268" s="44"/>
      <c r="L268" s="44"/>
      <c r="M268" s="44"/>
      <c r="N268" s="37">
        <f t="shared" si="45"/>
        <v>0</v>
      </c>
      <c r="O268" s="40"/>
      <c r="P268" s="40"/>
      <c r="Q268" s="67"/>
      <c r="R268" s="42">
        <f t="shared" si="46"/>
        <v>0</v>
      </c>
      <c r="S268" s="45">
        <f t="shared" si="47"/>
        <v>300</v>
      </c>
      <c r="T268" s="33">
        <f t="shared" si="48"/>
        <v>1</v>
      </c>
      <c r="U268" s="76"/>
      <c r="V268" s="3"/>
      <c r="W268" s="3"/>
      <c r="X268" s="3"/>
      <c r="Y268" s="3"/>
      <c r="Z268" s="3"/>
    </row>
    <row r="269">
      <c r="A269" s="102" t="s">
        <v>488</v>
      </c>
      <c r="B269" s="24">
        <f t="shared" si="43"/>
        <v>300</v>
      </c>
      <c r="C269" s="36">
        <v>30.0</v>
      </c>
      <c r="D269" s="37">
        <f t="shared" si="44"/>
        <v>300</v>
      </c>
      <c r="E269" s="39"/>
      <c r="F269" s="41"/>
      <c r="G269" s="40"/>
      <c r="H269" s="40"/>
      <c r="I269" s="41"/>
      <c r="J269" s="40"/>
      <c r="K269" s="44"/>
      <c r="L269" s="44"/>
      <c r="M269" s="41"/>
      <c r="N269" s="37">
        <f t="shared" si="45"/>
        <v>0</v>
      </c>
      <c r="O269" s="40"/>
      <c r="P269" s="40"/>
      <c r="Q269" s="67"/>
      <c r="R269" s="42">
        <f t="shared" si="46"/>
        <v>0</v>
      </c>
      <c r="S269" s="47">
        <f t="shared" si="47"/>
        <v>300</v>
      </c>
      <c r="T269" s="33">
        <f t="shared" si="48"/>
        <v>1</v>
      </c>
      <c r="U269" s="76"/>
      <c r="V269" s="3"/>
      <c r="W269" s="3"/>
      <c r="X269" s="3"/>
      <c r="Y269" s="3"/>
      <c r="Z269" s="3"/>
    </row>
    <row r="270">
      <c r="A270" s="103" t="s">
        <v>489</v>
      </c>
      <c r="B270" s="49">
        <f t="shared" si="43"/>
        <v>300</v>
      </c>
      <c r="C270" s="50">
        <v>30.0</v>
      </c>
      <c r="D270" s="51">
        <f t="shared" si="44"/>
        <v>300</v>
      </c>
      <c r="E270" s="68"/>
      <c r="F270" s="74"/>
      <c r="G270" s="53"/>
      <c r="H270" s="53"/>
      <c r="I270" s="68"/>
      <c r="J270" s="52"/>
      <c r="K270" s="74"/>
      <c r="L270" s="54"/>
      <c r="M270" s="74"/>
      <c r="N270" s="51">
        <f t="shared" si="45"/>
        <v>0</v>
      </c>
      <c r="O270" s="53"/>
      <c r="P270" s="53"/>
      <c r="Q270" s="69"/>
      <c r="R270" s="56">
        <f t="shared" si="46"/>
        <v>0</v>
      </c>
      <c r="S270" s="57">
        <f t="shared" si="47"/>
        <v>300</v>
      </c>
      <c r="T270" s="33">
        <f t="shared" si="48"/>
        <v>1</v>
      </c>
      <c r="U270" s="76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124"/>
      <c r="F271" s="104"/>
      <c r="G271" s="3"/>
      <c r="H271" s="3"/>
      <c r="I271" s="124"/>
      <c r="J271" s="3"/>
      <c r="K271" s="104"/>
      <c r="L271" s="104"/>
      <c r="M271" s="104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63"/>
      <c r="B272" s="63" t="s">
        <v>490</v>
      </c>
      <c r="C272" s="3"/>
      <c r="D272" s="3"/>
      <c r="E272" s="124"/>
      <c r="F272" s="104"/>
      <c r="G272" s="63"/>
      <c r="H272" s="3"/>
      <c r="I272" s="124"/>
      <c r="J272" s="62"/>
      <c r="K272" s="104"/>
      <c r="L272" s="105"/>
      <c r="M272" s="104"/>
      <c r="N272" s="62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63"/>
      <c r="B273" s="64" t="s">
        <v>593</v>
      </c>
      <c r="C273" s="3"/>
      <c r="D273" s="3"/>
      <c r="E273" s="124"/>
      <c r="F273" s="104"/>
      <c r="G273" s="63"/>
      <c r="H273" s="3"/>
      <c r="I273" s="124"/>
      <c r="J273" s="62"/>
      <c r="K273" s="104"/>
      <c r="L273" s="105"/>
      <c r="M273" s="104"/>
      <c r="N273" s="62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65" t="s">
        <v>594</v>
      </c>
      <c r="C274" s="3"/>
      <c r="D274" s="3"/>
      <c r="E274" s="124"/>
      <c r="F274" s="104"/>
      <c r="G274" s="63"/>
      <c r="H274" s="3"/>
      <c r="I274" s="124"/>
      <c r="J274" s="63"/>
      <c r="K274" s="104"/>
      <c r="L274" s="107"/>
      <c r="M274" s="125"/>
      <c r="N274" s="112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65" t="s">
        <v>595</v>
      </c>
      <c r="C275" s="3"/>
      <c r="D275" s="3"/>
      <c r="E275" s="124"/>
      <c r="F275" s="104"/>
      <c r="G275" s="63"/>
      <c r="H275" s="3"/>
      <c r="I275" s="124"/>
      <c r="J275" s="63"/>
      <c r="K275" s="104"/>
      <c r="L275" s="107"/>
      <c r="M275" s="125"/>
      <c r="N275" s="112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65" t="s">
        <v>596</v>
      </c>
      <c r="C276" s="3"/>
      <c r="D276" s="3"/>
      <c r="E276" s="124"/>
      <c r="F276" s="104"/>
      <c r="G276" s="63"/>
      <c r="H276" s="3"/>
      <c r="I276" s="124"/>
      <c r="J276" s="63"/>
      <c r="K276" s="104"/>
      <c r="L276" s="107"/>
      <c r="M276" s="125"/>
      <c r="N276" s="112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65" t="s">
        <v>597</v>
      </c>
      <c r="C277" s="3"/>
      <c r="D277" s="3"/>
      <c r="E277" s="124"/>
      <c r="F277" s="104"/>
      <c r="G277" s="3"/>
      <c r="H277" s="3"/>
      <c r="I277" s="124"/>
      <c r="J277" s="3"/>
      <c r="K277" s="104"/>
      <c r="L277" s="104"/>
      <c r="M277" s="125"/>
      <c r="N277" s="70"/>
      <c r="O277" s="92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65" t="s">
        <v>591</v>
      </c>
      <c r="C278" s="3"/>
      <c r="D278" s="3"/>
      <c r="E278" s="124"/>
      <c r="F278" s="104"/>
      <c r="G278" s="3"/>
      <c r="H278" s="3"/>
      <c r="I278" s="124"/>
      <c r="J278" s="3"/>
      <c r="K278" s="104"/>
      <c r="L278" s="104"/>
      <c r="M278" s="125"/>
      <c r="N278" s="70"/>
      <c r="O278" s="92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124"/>
      <c r="F279" s="104"/>
      <c r="G279" s="3"/>
      <c r="H279" s="3"/>
      <c r="I279" s="124"/>
      <c r="J279" s="3"/>
      <c r="K279" s="104"/>
      <c r="L279" s="104"/>
      <c r="M279" s="104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124"/>
      <c r="F280" s="104"/>
      <c r="G280" s="3"/>
      <c r="H280" s="3"/>
      <c r="I280" s="124"/>
      <c r="J280" s="3"/>
      <c r="K280" s="104"/>
      <c r="L280" s="104"/>
      <c r="M280" s="104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124"/>
      <c r="F281" s="104"/>
      <c r="G281" s="3"/>
      <c r="H281" s="3"/>
      <c r="I281" s="124"/>
      <c r="J281" s="3"/>
      <c r="K281" s="104"/>
      <c r="L281" s="104"/>
      <c r="M281" s="104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" t="s">
        <v>598</v>
      </c>
      <c r="U282" s="3"/>
      <c r="V282" s="3"/>
      <c r="W282" s="3"/>
      <c r="X282" s="3"/>
      <c r="Y282" s="3"/>
      <c r="Z282" s="3"/>
    </row>
    <row r="283">
      <c r="A283" s="1" t="s">
        <v>147</v>
      </c>
      <c r="U283" s="3"/>
      <c r="V283" s="3"/>
      <c r="W283" s="3"/>
      <c r="X283" s="3"/>
      <c r="Y283" s="3"/>
      <c r="Z283" s="3"/>
    </row>
    <row r="284">
      <c r="A284" s="2"/>
      <c r="B284" s="4"/>
      <c r="C284" s="2"/>
      <c r="D284" s="2"/>
      <c r="E284" s="78"/>
      <c r="F284" s="98"/>
      <c r="G284" s="2"/>
      <c r="H284" s="2"/>
      <c r="I284" s="78"/>
      <c r="J284" s="2"/>
      <c r="K284" s="98"/>
      <c r="L284" s="98"/>
      <c r="M284" s="98"/>
      <c r="N284" s="2"/>
      <c r="O284" s="2"/>
      <c r="P284" s="2"/>
      <c r="Q284" s="2"/>
      <c r="R284" s="2"/>
      <c r="S284" s="2"/>
      <c r="T284" s="2"/>
      <c r="U284" s="3"/>
      <c r="V284" s="3"/>
      <c r="W284" s="3"/>
      <c r="X284" s="3"/>
      <c r="Y284" s="3"/>
      <c r="Z284" s="3"/>
    </row>
    <row r="285">
      <c r="A285" s="8" t="s">
        <v>2</v>
      </c>
      <c r="B285" s="9" t="s">
        <v>3</v>
      </c>
      <c r="C285" s="10"/>
      <c r="D285" s="11"/>
      <c r="E285" s="12" t="s">
        <v>4</v>
      </c>
      <c r="F285" s="10"/>
      <c r="G285" s="10"/>
      <c r="H285" s="10"/>
      <c r="I285" s="10"/>
      <c r="J285" s="10"/>
      <c r="K285" s="10"/>
      <c r="L285" s="10"/>
      <c r="M285" s="10"/>
      <c r="N285" s="11"/>
      <c r="O285" s="13" t="s">
        <v>5</v>
      </c>
      <c r="P285" s="10"/>
      <c r="Q285" s="10"/>
      <c r="R285" s="11"/>
      <c r="S285" s="14" t="s">
        <v>6</v>
      </c>
      <c r="T285" s="14" t="s">
        <v>7</v>
      </c>
      <c r="U285" s="3"/>
      <c r="V285" s="3"/>
      <c r="W285" s="3"/>
      <c r="X285" s="3"/>
      <c r="Y285" s="3"/>
      <c r="Z285" s="3"/>
    </row>
    <row r="286">
      <c r="A286" s="15"/>
      <c r="B286" s="16" t="s">
        <v>8</v>
      </c>
      <c r="C286" s="17" t="s">
        <v>9</v>
      </c>
      <c r="D286" s="14" t="s">
        <v>10</v>
      </c>
      <c r="E286" s="17" t="s">
        <v>11</v>
      </c>
      <c r="F286" s="18" t="s">
        <v>12</v>
      </c>
      <c r="G286" s="17" t="s">
        <v>13</v>
      </c>
      <c r="H286" s="17" t="s">
        <v>14</v>
      </c>
      <c r="I286" s="17" t="s">
        <v>15</v>
      </c>
      <c r="J286" s="17" t="s">
        <v>16</v>
      </c>
      <c r="K286" s="18" t="s">
        <v>17</v>
      </c>
      <c r="L286" s="18" t="s">
        <v>18</v>
      </c>
      <c r="M286" s="18" t="s">
        <v>19</v>
      </c>
      <c r="N286" s="14" t="s">
        <v>20</v>
      </c>
      <c r="O286" s="17" t="s">
        <v>21</v>
      </c>
      <c r="P286" s="17" t="s">
        <v>22</v>
      </c>
      <c r="Q286" s="17" t="s">
        <v>23</v>
      </c>
      <c r="R286" s="14" t="s">
        <v>24</v>
      </c>
      <c r="S286" s="19"/>
      <c r="T286" s="19"/>
      <c r="U286" s="3"/>
      <c r="V286" s="3"/>
      <c r="W286" s="3"/>
      <c r="X286" s="3"/>
      <c r="Y286" s="3"/>
      <c r="Z286" s="3"/>
    </row>
    <row r="287">
      <c r="A287" s="20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3"/>
      <c r="V287" s="3"/>
      <c r="W287" s="3"/>
      <c r="X287" s="3"/>
      <c r="Y287" s="3"/>
      <c r="Z287" s="3"/>
    </row>
    <row r="288">
      <c r="A288" s="100">
        <v>12.0</v>
      </c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3"/>
      <c r="V288" s="3"/>
      <c r="W288" s="3"/>
      <c r="X288" s="3"/>
      <c r="Y288" s="3"/>
      <c r="Z288" s="3"/>
    </row>
    <row r="289">
      <c r="A289" s="101" t="s">
        <v>476</v>
      </c>
      <c r="B289" s="24">
        <f t="shared" ref="B289:B302" si="49">300-U289</f>
        <v>300</v>
      </c>
      <c r="C289" s="25">
        <v>30.0</v>
      </c>
      <c r="D289" s="26">
        <f t="shared" ref="D289:D302" si="50">B289</f>
        <v>300</v>
      </c>
      <c r="E289" s="28"/>
      <c r="F289" s="73">
        <v>0.5</v>
      </c>
      <c r="G289" s="29"/>
      <c r="H289" s="29"/>
      <c r="I289" s="28"/>
      <c r="J289" s="29"/>
      <c r="K289" s="30"/>
      <c r="L289" s="30"/>
      <c r="M289" s="73"/>
      <c r="N289" s="26">
        <f t="shared" ref="N289:N302" si="51">SUM(E289:M289)</f>
        <v>0.5</v>
      </c>
      <c r="O289" s="29"/>
      <c r="P289" s="29"/>
      <c r="Q289" s="83"/>
      <c r="R289" s="31">
        <f t="shared" ref="R289:R302" si="52">SUM(O289:Q289)</f>
        <v>0</v>
      </c>
      <c r="S289" s="32">
        <f t="shared" ref="S289:S302" si="53">D289-N289+R289</f>
        <v>299.5</v>
      </c>
      <c r="T289" s="33">
        <f t="shared" ref="T289:T302" si="54">RANK(S289,$S$289:$S$302,0)</f>
        <v>4</v>
      </c>
      <c r="U289" s="76"/>
      <c r="V289" s="3"/>
      <c r="W289" s="3"/>
      <c r="X289" s="3"/>
      <c r="Y289" s="3"/>
      <c r="Z289" s="3"/>
    </row>
    <row r="290">
      <c r="A290" s="102" t="s">
        <v>477</v>
      </c>
      <c r="B290" s="24">
        <f t="shared" si="49"/>
        <v>300</v>
      </c>
      <c r="C290" s="36">
        <v>30.0</v>
      </c>
      <c r="D290" s="37">
        <f t="shared" si="50"/>
        <v>300</v>
      </c>
      <c r="E290" s="39">
        <v>1.5</v>
      </c>
      <c r="F290" s="41">
        <v>1.5</v>
      </c>
      <c r="G290" s="40"/>
      <c r="H290" s="40"/>
      <c r="I290" s="41"/>
      <c r="J290" s="40"/>
      <c r="K290" s="44"/>
      <c r="L290" s="41"/>
      <c r="M290" s="41"/>
      <c r="N290" s="37">
        <f t="shared" si="51"/>
        <v>3</v>
      </c>
      <c r="O290" s="40"/>
      <c r="P290" s="40"/>
      <c r="Q290" s="67"/>
      <c r="R290" s="42">
        <f t="shared" si="52"/>
        <v>0</v>
      </c>
      <c r="S290" s="43">
        <f t="shared" si="53"/>
        <v>297</v>
      </c>
      <c r="T290" s="33">
        <f t="shared" si="54"/>
        <v>13</v>
      </c>
      <c r="U290" s="76"/>
      <c r="V290" s="3"/>
      <c r="W290" s="3"/>
      <c r="X290" s="3"/>
      <c r="Y290" s="3"/>
      <c r="Z290" s="3"/>
    </row>
    <row r="291">
      <c r="A291" s="102" t="s">
        <v>478</v>
      </c>
      <c r="B291" s="24">
        <f t="shared" si="49"/>
        <v>300</v>
      </c>
      <c r="C291" s="36">
        <v>30.0</v>
      </c>
      <c r="D291" s="37">
        <f t="shared" si="50"/>
        <v>300</v>
      </c>
      <c r="E291" s="39">
        <v>4.5</v>
      </c>
      <c r="F291" s="41"/>
      <c r="G291" s="40"/>
      <c r="H291" s="40"/>
      <c r="I291" s="39"/>
      <c r="J291" s="40"/>
      <c r="K291" s="44"/>
      <c r="L291" s="41"/>
      <c r="M291" s="41">
        <v>0.5</v>
      </c>
      <c r="N291" s="37">
        <f t="shared" si="51"/>
        <v>5</v>
      </c>
      <c r="O291" s="40"/>
      <c r="P291" s="40"/>
      <c r="Q291" s="67"/>
      <c r="R291" s="42">
        <f t="shared" si="52"/>
        <v>0</v>
      </c>
      <c r="S291" s="45">
        <f t="shared" si="53"/>
        <v>295</v>
      </c>
      <c r="T291" s="33">
        <f t="shared" si="54"/>
        <v>14</v>
      </c>
      <c r="U291" s="76"/>
      <c r="V291" s="3"/>
      <c r="W291" s="3"/>
      <c r="X291" s="3"/>
      <c r="Y291" s="3"/>
      <c r="Z291" s="3"/>
    </row>
    <row r="292">
      <c r="A292" s="102" t="s">
        <v>479</v>
      </c>
      <c r="B292" s="24">
        <f t="shared" si="49"/>
        <v>299</v>
      </c>
      <c r="C292" s="36">
        <v>30.0</v>
      </c>
      <c r="D292" s="37">
        <f t="shared" si="50"/>
        <v>299</v>
      </c>
      <c r="E292" s="39"/>
      <c r="F292" s="41">
        <v>0.5</v>
      </c>
      <c r="G292" s="40"/>
      <c r="H292" s="40"/>
      <c r="I292" s="41"/>
      <c r="J292" s="40"/>
      <c r="K292" s="44"/>
      <c r="L292" s="44"/>
      <c r="M292" s="41"/>
      <c r="N292" s="37">
        <f t="shared" si="51"/>
        <v>0.5</v>
      </c>
      <c r="O292" s="40"/>
      <c r="P292" s="40"/>
      <c r="Q292" s="67"/>
      <c r="R292" s="42">
        <f t="shared" si="52"/>
        <v>0</v>
      </c>
      <c r="S292" s="45">
        <f t="shared" si="53"/>
        <v>298.5</v>
      </c>
      <c r="T292" s="33">
        <f t="shared" si="54"/>
        <v>9</v>
      </c>
      <c r="U292" s="76">
        <v>1.0</v>
      </c>
      <c r="V292" s="3"/>
      <c r="W292" s="3"/>
      <c r="X292" s="3"/>
      <c r="Y292" s="3"/>
      <c r="Z292" s="3"/>
    </row>
    <row r="293">
      <c r="A293" s="102" t="s">
        <v>480</v>
      </c>
      <c r="B293" s="24">
        <f t="shared" si="49"/>
        <v>300</v>
      </c>
      <c r="C293" s="36">
        <v>30.0</v>
      </c>
      <c r="D293" s="37">
        <f t="shared" si="50"/>
        <v>300</v>
      </c>
      <c r="E293" s="38"/>
      <c r="F293" s="41"/>
      <c r="G293" s="40"/>
      <c r="H293" s="40"/>
      <c r="I293" s="39"/>
      <c r="J293" s="40"/>
      <c r="K293" s="44"/>
      <c r="L293" s="44"/>
      <c r="M293" s="41"/>
      <c r="N293" s="37">
        <f t="shared" si="51"/>
        <v>0</v>
      </c>
      <c r="O293" s="40"/>
      <c r="P293" s="40"/>
      <c r="Q293" s="67"/>
      <c r="R293" s="42">
        <f t="shared" si="52"/>
        <v>0</v>
      </c>
      <c r="S293" s="45">
        <f t="shared" si="53"/>
        <v>300</v>
      </c>
      <c r="T293" s="33">
        <f t="shared" si="54"/>
        <v>1</v>
      </c>
      <c r="U293" s="76"/>
      <c r="V293" s="3"/>
      <c r="W293" s="3"/>
      <c r="X293" s="3"/>
      <c r="Y293" s="3"/>
      <c r="Z293" s="3"/>
    </row>
    <row r="294">
      <c r="A294" s="102" t="s">
        <v>481</v>
      </c>
      <c r="B294" s="24">
        <f t="shared" si="49"/>
        <v>300</v>
      </c>
      <c r="C294" s="36">
        <v>30.0</v>
      </c>
      <c r="D294" s="37">
        <f t="shared" si="50"/>
        <v>300</v>
      </c>
      <c r="E294" s="39">
        <v>1.5</v>
      </c>
      <c r="F294" s="41"/>
      <c r="G294" s="40"/>
      <c r="H294" s="40"/>
      <c r="I294" s="39"/>
      <c r="J294" s="40"/>
      <c r="K294" s="44"/>
      <c r="L294" s="41"/>
      <c r="M294" s="41"/>
      <c r="N294" s="37">
        <f t="shared" si="51"/>
        <v>1.5</v>
      </c>
      <c r="O294" s="40"/>
      <c r="P294" s="40"/>
      <c r="Q294" s="67"/>
      <c r="R294" s="42">
        <f t="shared" si="52"/>
        <v>0</v>
      </c>
      <c r="S294" s="45">
        <f t="shared" si="53"/>
        <v>298.5</v>
      </c>
      <c r="T294" s="33">
        <f t="shared" si="54"/>
        <v>9</v>
      </c>
      <c r="U294" s="76"/>
      <c r="V294" s="3"/>
      <c r="W294" s="3"/>
      <c r="X294" s="3"/>
      <c r="Y294" s="3"/>
      <c r="Z294" s="3"/>
    </row>
    <row r="295">
      <c r="A295" s="102" t="s">
        <v>482</v>
      </c>
      <c r="B295" s="24">
        <f t="shared" si="49"/>
        <v>299</v>
      </c>
      <c r="C295" s="36">
        <v>30.0</v>
      </c>
      <c r="D295" s="37">
        <f t="shared" si="50"/>
        <v>299</v>
      </c>
      <c r="E295" s="39"/>
      <c r="F295" s="41"/>
      <c r="G295" s="40"/>
      <c r="H295" s="40"/>
      <c r="I295" s="39"/>
      <c r="J295" s="38"/>
      <c r="K295" s="44"/>
      <c r="L295" s="41"/>
      <c r="M295" s="41"/>
      <c r="N295" s="37">
        <f t="shared" si="51"/>
        <v>0</v>
      </c>
      <c r="O295" s="40"/>
      <c r="P295" s="40"/>
      <c r="Q295" s="67"/>
      <c r="R295" s="42">
        <f t="shared" si="52"/>
        <v>0</v>
      </c>
      <c r="S295" s="45">
        <f t="shared" si="53"/>
        <v>299</v>
      </c>
      <c r="T295" s="33">
        <f t="shared" si="54"/>
        <v>7</v>
      </c>
      <c r="U295" s="76">
        <v>1.0</v>
      </c>
      <c r="V295" s="3"/>
      <c r="W295" s="3"/>
      <c r="X295" s="3"/>
      <c r="Y295" s="3"/>
      <c r="Z295" s="3"/>
    </row>
    <row r="296">
      <c r="A296" s="102" t="s">
        <v>483</v>
      </c>
      <c r="B296" s="24">
        <f t="shared" si="49"/>
        <v>300</v>
      </c>
      <c r="C296" s="36">
        <v>30.0</v>
      </c>
      <c r="D296" s="37">
        <f t="shared" si="50"/>
        <v>300</v>
      </c>
      <c r="E296" s="39">
        <v>1.5</v>
      </c>
      <c r="F296" s="41"/>
      <c r="G296" s="40"/>
      <c r="H296" s="40"/>
      <c r="I296" s="41"/>
      <c r="J296" s="40"/>
      <c r="K296" s="44"/>
      <c r="L296" s="41"/>
      <c r="M296" s="41"/>
      <c r="N296" s="37">
        <f t="shared" si="51"/>
        <v>1.5</v>
      </c>
      <c r="O296" s="40"/>
      <c r="P296" s="40"/>
      <c r="Q296" s="67"/>
      <c r="R296" s="42">
        <f t="shared" si="52"/>
        <v>0</v>
      </c>
      <c r="S296" s="47">
        <f t="shared" si="53"/>
        <v>298.5</v>
      </c>
      <c r="T296" s="33">
        <f t="shared" si="54"/>
        <v>9</v>
      </c>
      <c r="U296" s="76"/>
      <c r="V296" s="3"/>
      <c r="W296" s="3"/>
      <c r="X296" s="3"/>
      <c r="Y296" s="3"/>
      <c r="Z296" s="3"/>
    </row>
    <row r="297">
      <c r="A297" s="102" t="s">
        <v>484</v>
      </c>
      <c r="B297" s="24">
        <f t="shared" si="49"/>
        <v>299</v>
      </c>
      <c r="C297" s="36">
        <v>30.0</v>
      </c>
      <c r="D297" s="37">
        <f t="shared" si="50"/>
        <v>299</v>
      </c>
      <c r="E297" s="39"/>
      <c r="F297" s="41"/>
      <c r="G297" s="40"/>
      <c r="H297" s="40"/>
      <c r="I297" s="39"/>
      <c r="J297" s="38"/>
      <c r="K297" s="44"/>
      <c r="L297" s="41"/>
      <c r="M297" s="41"/>
      <c r="N297" s="37">
        <f t="shared" si="51"/>
        <v>0</v>
      </c>
      <c r="O297" s="40"/>
      <c r="P297" s="40"/>
      <c r="Q297" s="67"/>
      <c r="R297" s="42">
        <f t="shared" si="52"/>
        <v>0</v>
      </c>
      <c r="S297" s="47">
        <f t="shared" si="53"/>
        <v>299</v>
      </c>
      <c r="T297" s="33">
        <f t="shared" si="54"/>
        <v>7</v>
      </c>
      <c r="U297" s="76">
        <v>1.0</v>
      </c>
      <c r="V297" s="3"/>
      <c r="W297" s="3"/>
      <c r="X297" s="3"/>
      <c r="Y297" s="3"/>
      <c r="Z297" s="3"/>
    </row>
    <row r="298">
      <c r="A298" s="102" t="s">
        <v>485</v>
      </c>
      <c r="B298" s="24">
        <f t="shared" si="49"/>
        <v>300</v>
      </c>
      <c r="C298" s="36">
        <v>30.0</v>
      </c>
      <c r="D298" s="37">
        <f t="shared" si="50"/>
        <v>300</v>
      </c>
      <c r="E298" s="38"/>
      <c r="F298" s="44"/>
      <c r="G298" s="40"/>
      <c r="H298" s="40"/>
      <c r="I298" s="39"/>
      <c r="J298" s="40"/>
      <c r="K298" s="41"/>
      <c r="L298" s="44"/>
      <c r="M298" s="41"/>
      <c r="N298" s="37">
        <f t="shared" si="51"/>
        <v>0</v>
      </c>
      <c r="O298" s="40"/>
      <c r="P298" s="40"/>
      <c r="Q298" s="67"/>
      <c r="R298" s="42">
        <f t="shared" si="52"/>
        <v>0</v>
      </c>
      <c r="S298" s="43">
        <f t="shared" si="53"/>
        <v>300</v>
      </c>
      <c r="T298" s="33">
        <f t="shared" si="54"/>
        <v>1</v>
      </c>
      <c r="U298" s="3"/>
      <c r="V298" s="3"/>
      <c r="W298" s="3"/>
      <c r="X298" s="3"/>
      <c r="Y298" s="3"/>
      <c r="Z298" s="3"/>
    </row>
    <row r="299">
      <c r="A299" s="102" t="s">
        <v>486</v>
      </c>
      <c r="B299" s="24">
        <f t="shared" si="49"/>
        <v>300</v>
      </c>
      <c r="C299" s="36">
        <v>30.0</v>
      </c>
      <c r="D299" s="37">
        <f t="shared" si="50"/>
        <v>300</v>
      </c>
      <c r="E299" s="39"/>
      <c r="F299" s="41">
        <v>0.5</v>
      </c>
      <c r="G299" s="40"/>
      <c r="H299" s="40"/>
      <c r="I299" s="39"/>
      <c r="J299" s="40"/>
      <c r="K299" s="44"/>
      <c r="L299" s="44"/>
      <c r="M299" s="41"/>
      <c r="N299" s="37">
        <f t="shared" si="51"/>
        <v>0.5</v>
      </c>
      <c r="O299" s="40"/>
      <c r="P299" s="40"/>
      <c r="Q299" s="67"/>
      <c r="R299" s="42">
        <f t="shared" si="52"/>
        <v>0</v>
      </c>
      <c r="S299" s="45">
        <f t="shared" si="53"/>
        <v>299.5</v>
      </c>
      <c r="T299" s="33">
        <f t="shared" si="54"/>
        <v>4</v>
      </c>
      <c r="U299" s="76"/>
      <c r="V299" s="3"/>
      <c r="W299" s="3"/>
      <c r="X299" s="3"/>
      <c r="Y299" s="3"/>
      <c r="Z299" s="3"/>
    </row>
    <row r="300">
      <c r="A300" s="102" t="s">
        <v>487</v>
      </c>
      <c r="B300" s="24">
        <f t="shared" si="49"/>
        <v>300</v>
      </c>
      <c r="C300" s="36">
        <v>30.0</v>
      </c>
      <c r="D300" s="37">
        <f t="shared" si="50"/>
        <v>300</v>
      </c>
      <c r="E300" s="39"/>
      <c r="F300" s="41">
        <v>0.5</v>
      </c>
      <c r="G300" s="40"/>
      <c r="H300" s="40"/>
      <c r="I300" s="39"/>
      <c r="J300" s="40"/>
      <c r="K300" s="44"/>
      <c r="L300" s="44"/>
      <c r="M300" s="44"/>
      <c r="N300" s="37">
        <f t="shared" si="51"/>
        <v>0.5</v>
      </c>
      <c r="O300" s="40"/>
      <c r="P300" s="40"/>
      <c r="Q300" s="67"/>
      <c r="R300" s="42">
        <f t="shared" si="52"/>
        <v>0</v>
      </c>
      <c r="S300" s="45">
        <f t="shared" si="53"/>
        <v>299.5</v>
      </c>
      <c r="T300" s="33">
        <f t="shared" si="54"/>
        <v>4</v>
      </c>
      <c r="U300" s="76"/>
      <c r="V300" s="3"/>
      <c r="W300" s="3"/>
      <c r="X300" s="3"/>
      <c r="Y300" s="3"/>
      <c r="Z300" s="3"/>
    </row>
    <row r="301">
      <c r="A301" s="102" t="s">
        <v>488</v>
      </c>
      <c r="B301" s="24">
        <f t="shared" si="49"/>
        <v>300</v>
      </c>
      <c r="C301" s="36">
        <v>30.0</v>
      </c>
      <c r="D301" s="37">
        <f t="shared" si="50"/>
        <v>300</v>
      </c>
      <c r="E301" s="39"/>
      <c r="F301" s="41"/>
      <c r="G301" s="40"/>
      <c r="H301" s="40"/>
      <c r="I301" s="41"/>
      <c r="J301" s="40"/>
      <c r="K301" s="44"/>
      <c r="L301" s="44"/>
      <c r="M301" s="41"/>
      <c r="N301" s="37">
        <f t="shared" si="51"/>
        <v>0</v>
      </c>
      <c r="O301" s="40"/>
      <c r="P301" s="40"/>
      <c r="Q301" s="67"/>
      <c r="R301" s="42">
        <f t="shared" si="52"/>
        <v>0</v>
      </c>
      <c r="S301" s="47">
        <f t="shared" si="53"/>
        <v>300</v>
      </c>
      <c r="T301" s="33">
        <f t="shared" si="54"/>
        <v>1</v>
      </c>
      <c r="U301" s="76"/>
      <c r="V301" s="3"/>
      <c r="W301" s="3"/>
      <c r="X301" s="3"/>
      <c r="Y301" s="3"/>
      <c r="Z301" s="3"/>
    </row>
    <row r="302">
      <c r="A302" s="103" t="s">
        <v>489</v>
      </c>
      <c r="B302" s="49">
        <f t="shared" si="49"/>
        <v>300</v>
      </c>
      <c r="C302" s="50">
        <v>30.0</v>
      </c>
      <c r="D302" s="51">
        <f t="shared" si="50"/>
        <v>300</v>
      </c>
      <c r="E302" s="68">
        <v>1.5</v>
      </c>
      <c r="F302" s="74"/>
      <c r="G302" s="53"/>
      <c r="H302" s="53"/>
      <c r="I302" s="68"/>
      <c r="J302" s="52"/>
      <c r="K302" s="74"/>
      <c r="L302" s="54"/>
      <c r="M302" s="74"/>
      <c r="N302" s="51">
        <f t="shared" si="51"/>
        <v>1.5</v>
      </c>
      <c r="O302" s="53"/>
      <c r="P302" s="53"/>
      <c r="Q302" s="69"/>
      <c r="R302" s="56">
        <f t="shared" si="52"/>
        <v>0</v>
      </c>
      <c r="S302" s="57">
        <f t="shared" si="53"/>
        <v>298.5</v>
      </c>
      <c r="T302" s="33">
        <f t="shared" si="54"/>
        <v>9</v>
      </c>
      <c r="U302" s="76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124"/>
      <c r="F303" s="104"/>
      <c r="G303" s="3"/>
      <c r="H303" s="3"/>
      <c r="I303" s="124"/>
      <c r="J303" s="3"/>
      <c r="K303" s="104"/>
      <c r="L303" s="104"/>
      <c r="M303" s="104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63"/>
      <c r="B304" s="63" t="s">
        <v>490</v>
      </c>
      <c r="C304" s="3"/>
      <c r="D304" s="3"/>
      <c r="E304" s="124"/>
      <c r="F304" s="104"/>
      <c r="G304" s="63"/>
      <c r="H304" s="3"/>
      <c r="I304" s="105" t="s">
        <v>599</v>
      </c>
      <c r="J304" s="62"/>
      <c r="K304" s="104"/>
      <c r="L304" s="105"/>
      <c r="M304" s="104"/>
      <c r="N304" s="62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63"/>
      <c r="B305" s="65" t="s">
        <v>600</v>
      </c>
      <c r="C305" s="3"/>
      <c r="D305" s="3"/>
      <c r="E305" s="124"/>
      <c r="F305" s="104"/>
      <c r="G305" s="63"/>
      <c r="H305" s="3"/>
      <c r="I305" s="124"/>
      <c r="J305" s="62"/>
      <c r="K305" s="104"/>
      <c r="L305" s="105"/>
      <c r="M305" s="104"/>
      <c r="N305" s="62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63"/>
      <c r="B306" s="64" t="s">
        <v>601</v>
      </c>
      <c r="C306" s="3"/>
      <c r="D306" s="3"/>
      <c r="E306" s="124"/>
      <c r="F306" s="104"/>
      <c r="G306" s="63"/>
      <c r="H306" s="3"/>
      <c r="I306" s="124"/>
      <c r="J306" s="62"/>
      <c r="K306" s="104"/>
      <c r="L306" s="105"/>
      <c r="M306" s="104"/>
      <c r="N306" s="62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63"/>
      <c r="B307" s="64" t="s">
        <v>602</v>
      </c>
      <c r="C307" s="3"/>
      <c r="D307" s="3"/>
      <c r="E307" s="124"/>
      <c r="F307" s="104"/>
      <c r="G307" s="63"/>
      <c r="H307" s="3"/>
      <c r="I307" s="124"/>
      <c r="J307" s="62"/>
      <c r="K307" s="104"/>
      <c r="L307" s="105"/>
      <c r="M307" s="104"/>
      <c r="N307" s="62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65" t="s">
        <v>603</v>
      </c>
      <c r="C308" s="3"/>
      <c r="D308" s="3"/>
      <c r="E308" s="124"/>
      <c r="F308" s="104"/>
      <c r="G308" s="63"/>
      <c r="H308" s="3"/>
      <c r="I308" s="124"/>
      <c r="J308" s="63"/>
      <c r="K308" s="104"/>
      <c r="L308" s="107"/>
      <c r="M308" s="125"/>
      <c r="N308" s="112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65" t="s">
        <v>604</v>
      </c>
      <c r="C309" s="3"/>
      <c r="D309" s="3"/>
      <c r="E309" s="124"/>
      <c r="F309" s="104"/>
      <c r="G309" s="63"/>
      <c r="H309" s="3"/>
      <c r="I309" s="124"/>
      <c r="J309" s="63"/>
      <c r="K309" s="104"/>
      <c r="L309" s="107"/>
      <c r="M309" s="125"/>
      <c r="N309" s="112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65" t="s">
        <v>605</v>
      </c>
      <c r="C310" s="3"/>
      <c r="D310" s="3"/>
      <c r="E310" s="124"/>
      <c r="F310" s="104"/>
      <c r="G310" s="3"/>
      <c r="H310" s="3"/>
      <c r="I310" s="124"/>
      <c r="J310" s="3"/>
      <c r="K310" s="104"/>
      <c r="L310" s="104"/>
      <c r="M310" s="125"/>
      <c r="N310" s="70"/>
      <c r="O310" s="92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65" t="s">
        <v>606</v>
      </c>
      <c r="C311" s="3"/>
      <c r="D311" s="3"/>
      <c r="E311" s="124"/>
      <c r="F311" s="104"/>
      <c r="G311" s="3"/>
      <c r="H311" s="3"/>
      <c r="I311" s="124"/>
      <c r="J311" s="3"/>
      <c r="K311" s="104"/>
      <c r="L311" s="104"/>
      <c r="M311" s="104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65" t="s">
        <v>607</v>
      </c>
      <c r="C312" s="3"/>
      <c r="D312" s="3"/>
      <c r="E312" s="124"/>
      <c r="F312" s="104"/>
      <c r="G312" s="3"/>
      <c r="H312" s="3"/>
      <c r="I312" s="124"/>
      <c r="J312" s="3"/>
      <c r="K312" s="104"/>
      <c r="L312" s="104"/>
      <c r="M312" s="104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65" t="s">
        <v>608</v>
      </c>
      <c r="C313" s="3"/>
      <c r="D313" s="3"/>
      <c r="E313" s="124"/>
      <c r="F313" s="104"/>
      <c r="G313" s="3"/>
      <c r="H313" s="3"/>
      <c r="I313" s="124"/>
      <c r="J313" s="3"/>
      <c r="K313" s="104"/>
      <c r="L313" s="104"/>
      <c r="M313" s="104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124"/>
      <c r="F314" s="104"/>
      <c r="G314" s="3"/>
      <c r="H314" s="3"/>
      <c r="I314" s="124"/>
      <c r="J314" s="3"/>
      <c r="K314" s="104"/>
      <c r="L314" s="104"/>
      <c r="M314" s="104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124"/>
      <c r="F315" s="104"/>
      <c r="G315" s="3"/>
      <c r="H315" s="3"/>
      <c r="I315" s="124"/>
      <c r="J315" s="3"/>
      <c r="K315" s="104"/>
      <c r="L315" s="104"/>
      <c r="M315" s="104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124"/>
      <c r="F316" s="104"/>
      <c r="G316" s="3"/>
      <c r="H316" s="3"/>
      <c r="I316" s="124"/>
      <c r="J316" s="3"/>
      <c r="K316" s="104"/>
      <c r="L316" s="104"/>
      <c r="M316" s="104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" t="s">
        <v>609</v>
      </c>
      <c r="U317" s="3"/>
      <c r="V317" s="3"/>
      <c r="W317" s="3"/>
      <c r="X317" s="3"/>
      <c r="Y317" s="3"/>
      <c r="Z317" s="3"/>
    </row>
    <row r="318">
      <c r="A318" s="1" t="s">
        <v>158</v>
      </c>
      <c r="U318" s="3"/>
      <c r="V318" s="3"/>
      <c r="W318" s="3"/>
      <c r="X318" s="3"/>
      <c r="Y318" s="3"/>
      <c r="Z318" s="3"/>
    </row>
    <row r="319">
      <c r="A319" s="2"/>
      <c r="B319" s="4"/>
      <c r="C319" s="2"/>
      <c r="D319" s="2"/>
      <c r="E319" s="78"/>
      <c r="F319" s="98"/>
      <c r="G319" s="2"/>
      <c r="H319" s="2"/>
      <c r="I319" s="78"/>
      <c r="J319" s="2"/>
      <c r="K319" s="98"/>
      <c r="L319" s="98"/>
      <c r="M319" s="98"/>
      <c r="N319" s="2"/>
      <c r="O319" s="2"/>
      <c r="P319" s="2"/>
      <c r="Q319" s="2"/>
      <c r="R319" s="2"/>
      <c r="S319" s="2"/>
      <c r="T319" s="2"/>
      <c r="U319" s="3"/>
      <c r="V319" s="3"/>
      <c r="W319" s="3"/>
      <c r="X319" s="3"/>
      <c r="Y319" s="3"/>
      <c r="Z319" s="3"/>
    </row>
    <row r="320">
      <c r="A320" s="8" t="s">
        <v>2</v>
      </c>
      <c r="B320" s="9" t="s">
        <v>3</v>
      </c>
      <c r="C320" s="10"/>
      <c r="D320" s="11"/>
      <c r="E320" s="12" t="s">
        <v>4</v>
      </c>
      <c r="F320" s="10"/>
      <c r="G320" s="10"/>
      <c r="H320" s="10"/>
      <c r="I320" s="10"/>
      <c r="J320" s="10"/>
      <c r="K320" s="10"/>
      <c r="L320" s="10"/>
      <c r="M320" s="10"/>
      <c r="N320" s="11"/>
      <c r="O320" s="13" t="s">
        <v>5</v>
      </c>
      <c r="P320" s="10"/>
      <c r="Q320" s="10"/>
      <c r="R320" s="11"/>
      <c r="S320" s="14" t="s">
        <v>6</v>
      </c>
      <c r="T320" s="14" t="s">
        <v>7</v>
      </c>
      <c r="U320" s="3"/>
      <c r="V320" s="3"/>
      <c r="W320" s="3"/>
      <c r="X320" s="3"/>
      <c r="Y320" s="3"/>
      <c r="Z320" s="3"/>
    </row>
    <row r="321">
      <c r="A321" s="15"/>
      <c r="B321" s="16" t="s">
        <v>8</v>
      </c>
      <c r="C321" s="17" t="s">
        <v>9</v>
      </c>
      <c r="D321" s="14" t="s">
        <v>10</v>
      </c>
      <c r="E321" s="17" t="s">
        <v>11</v>
      </c>
      <c r="F321" s="18" t="s">
        <v>12</v>
      </c>
      <c r="G321" s="17" t="s">
        <v>13</v>
      </c>
      <c r="H321" s="17" t="s">
        <v>14</v>
      </c>
      <c r="I321" s="17" t="s">
        <v>15</v>
      </c>
      <c r="J321" s="17" t="s">
        <v>16</v>
      </c>
      <c r="K321" s="18" t="s">
        <v>17</v>
      </c>
      <c r="L321" s="18" t="s">
        <v>18</v>
      </c>
      <c r="M321" s="18" t="s">
        <v>19</v>
      </c>
      <c r="N321" s="14" t="s">
        <v>20</v>
      </c>
      <c r="O321" s="17" t="s">
        <v>21</v>
      </c>
      <c r="P321" s="17" t="s">
        <v>22</v>
      </c>
      <c r="Q321" s="17" t="s">
        <v>23</v>
      </c>
      <c r="R321" s="14" t="s">
        <v>24</v>
      </c>
      <c r="S321" s="19"/>
      <c r="T321" s="19"/>
      <c r="U321" s="3"/>
      <c r="V321" s="3"/>
      <c r="W321" s="3"/>
      <c r="X321" s="3"/>
      <c r="Y321" s="3"/>
      <c r="Z321" s="3"/>
    </row>
    <row r="322">
      <c r="A322" s="20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3"/>
      <c r="V322" s="3"/>
      <c r="W322" s="3"/>
      <c r="X322" s="3"/>
      <c r="Y322" s="3"/>
      <c r="Z322" s="3"/>
    </row>
    <row r="323">
      <c r="A323" s="100">
        <v>12.0</v>
      </c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3"/>
      <c r="V323" s="3"/>
      <c r="W323" s="3"/>
      <c r="X323" s="3"/>
      <c r="Y323" s="3"/>
      <c r="Z323" s="3"/>
    </row>
    <row r="324">
      <c r="A324" s="101" t="s">
        <v>476</v>
      </c>
      <c r="B324" s="24">
        <f t="shared" ref="B324:B337" si="55">300-U324</f>
        <v>300</v>
      </c>
      <c r="C324" s="25">
        <v>30.0</v>
      </c>
      <c r="D324" s="26">
        <f t="shared" ref="D324:D337" si="56">B324</f>
        <v>300</v>
      </c>
      <c r="E324" s="28"/>
      <c r="F324" s="73">
        <v>0.5</v>
      </c>
      <c r="G324" s="29"/>
      <c r="H324" s="29"/>
      <c r="I324" s="28"/>
      <c r="J324" s="29"/>
      <c r="K324" s="30"/>
      <c r="L324" s="30"/>
      <c r="M324" s="73"/>
      <c r="N324" s="26">
        <f t="shared" ref="N324:N337" si="57">SUM(E324:M324)</f>
        <v>0.5</v>
      </c>
      <c r="O324" s="29"/>
      <c r="P324" s="29"/>
      <c r="Q324" s="83">
        <v>2.0</v>
      </c>
      <c r="R324" s="31">
        <f t="shared" ref="R324:R337" si="58">SUM(O324:Q324)</f>
        <v>2</v>
      </c>
      <c r="S324" s="32">
        <f t="shared" ref="S324:S337" si="59">D324-N324+R324</f>
        <v>301.5</v>
      </c>
      <c r="T324" s="33">
        <f t="shared" ref="T324:T337" si="60">RANK(S324,$S$324:$S$337,0)</f>
        <v>2</v>
      </c>
      <c r="U324" s="76"/>
      <c r="V324" s="3"/>
      <c r="W324" s="3"/>
      <c r="X324" s="3"/>
      <c r="Y324" s="3"/>
      <c r="Z324" s="3"/>
    </row>
    <row r="325">
      <c r="A325" s="102" t="s">
        <v>477</v>
      </c>
      <c r="B325" s="24">
        <f t="shared" si="55"/>
        <v>300</v>
      </c>
      <c r="C325" s="36">
        <v>30.0</v>
      </c>
      <c r="D325" s="37">
        <f t="shared" si="56"/>
        <v>300</v>
      </c>
      <c r="E325" s="41">
        <v>1.5</v>
      </c>
      <c r="F325" s="41">
        <v>1.0</v>
      </c>
      <c r="G325" s="40"/>
      <c r="H325" s="40"/>
      <c r="I325" s="41"/>
      <c r="J325" s="40"/>
      <c r="K325" s="44"/>
      <c r="L325" s="41"/>
      <c r="M325" s="41"/>
      <c r="N325" s="37">
        <f t="shared" si="57"/>
        <v>2.5</v>
      </c>
      <c r="O325" s="40"/>
      <c r="P325" s="40"/>
      <c r="Q325" s="67">
        <v>1.0</v>
      </c>
      <c r="R325" s="42">
        <f t="shared" si="58"/>
        <v>1</v>
      </c>
      <c r="S325" s="43">
        <f t="shared" si="59"/>
        <v>298.5</v>
      </c>
      <c r="T325" s="33">
        <f t="shared" si="60"/>
        <v>13</v>
      </c>
      <c r="U325" s="76"/>
      <c r="V325" s="3"/>
      <c r="W325" s="3"/>
      <c r="X325" s="3"/>
      <c r="Y325" s="3"/>
      <c r="Z325" s="3"/>
    </row>
    <row r="326">
      <c r="A326" s="102" t="s">
        <v>478</v>
      </c>
      <c r="B326" s="24">
        <f t="shared" si="55"/>
        <v>300</v>
      </c>
      <c r="C326" s="36">
        <v>30.0</v>
      </c>
      <c r="D326" s="37">
        <f t="shared" si="56"/>
        <v>300</v>
      </c>
      <c r="E326" s="41">
        <v>1.5</v>
      </c>
      <c r="F326" s="41">
        <v>0.5</v>
      </c>
      <c r="G326" s="40"/>
      <c r="H326" s="40"/>
      <c r="I326" s="39"/>
      <c r="J326" s="40"/>
      <c r="K326" s="44"/>
      <c r="L326" s="41"/>
      <c r="M326" s="41"/>
      <c r="N326" s="37">
        <f t="shared" si="57"/>
        <v>2</v>
      </c>
      <c r="O326" s="40"/>
      <c r="P326" s="40"/>
      <c r="Q326" s="67">
        <v>2.0</v>
      </c>
      <c r="R326" s="42">
        <f t="shared" si="58"/>
        <v>2</v>
      </c>
      <c r="S326" s="45">
        <f t="shared" si="59"/>
        <v>300</v>
      </c>
      <c r="T326" s="33">
        <f t="shared" si="60"/>
        <v>8</v>
      </c>
      <c r="U326" s="76"/>
      <c r="V326" s="3"/>
      <c r="W326" s="3"/>
      <c r="X326" s="3"/>
      <c r="Y326" s="3"/>
      <c r="Z326" s="3"/>
    </row>
    <row r="327">
      <c r="A327" s="102" t="s">
        <v>479</v>
      </c>
      <c r="B327" s="24">
        <f t="shared" si="55"/>
        <v>300</v>
      </c>
      <c r="C327" s="36">
        <v>30.0</v>
      </c>
      <c r="D327" s="37">
        <f t="shared" si="56"/>
        <v>300</v>
      </c>
      <c r="E327" s="39"/>
      <c r="F327" s="41"/>
      <c r="G327" s="40"/>
      <c r="H327" s="40"/>
      <c r="I327" s="41"/>
      <c r="J327" s="40"/>
      <c r="K327" s="44"/>
      <c r="L327" s="44"/>
      <c r="M327" s="41"/>
      <c r="N327" s="37">
        <f t="shared" si="57"/>
        <v>0</v>
      </c>
      <c r="O327" s="40"/>
      <c r="P327" s="40"/>
      <c r="Q327" s="67">
        <v>1.0</v>
      </c>
      <c r="R327" s="42">
        <f t="shared" si="58"/>
        <v>1</v>
      </c>
      <c r="S327" s="45">
        <f t="shared" si="59"/>
        <v>301</v>
      </c>
      <c r="T327" s="33">
        <f t="shared" si="60"/>
        <v>3</v>
      </c>
      <c r="U327" s="76"/>
      <c r="V327" s="3"/>
      <c r="W327" s="3"/>
      <c r="X327" s="3"/>
      <c r="Y327" s="3"/>
      <c r="Z327" s="3"/>
    </row>
    <row r="328">
      <c r="A328" s="102" t="s">
        <v>480</v>
      </c>
      <c r="B328" s="24">
        <f t="shared" si="55"/>
        <v>300</v>
      </c>
      <c r="C328" s="36">
        <v>30.0</v>
      </c>
      <c r="D328" s="37">
        <f t="shared" si="56"/>
        <v>300</v>
      </c>
      <c r="E328" s="38"/>
      <c r="F328" s="41"/>
      <c r="G328" s="40"/>
      <c r="H328" s="40"/>
      <c r="I328" s="39"/>
      <c r="J328" s="40"/>
      <c r="K328" s="44"/>
      <c r="L328" s="44"/>
      <c r="M328" s="41"/>
      <c r="N328" s="37">
        <f t="shared" si="57"/>
        <v>0</v>
      </c>
      <c r="O328" s="40"/>
      <c r="P328" s="40"/>
      <c r="Q328" s="67">
        <v>1.0</v>
      </c>
      <c r="R328" s="42">
        <f t="shared" si="58"/>
        <v>1</v>
      </c>
      <c r="S328" s="45">
        <f t="shared" si="59"/>
        <v>301</v>
      </c>
      <c r="T328" s="33">
        <f t="shared" si="60"/>
        <v>3</v>
      </c>
      <c r="U328" s="76"/>
      <c r="V328" s="3"/>
      <c r="W328" s="3"/>
      <c r="X328" s="3"/>
      <c r="Y328" s="3"/>
      <c r="Z328" s="3"/>
    </row>
    <row r="329">
      <c r="A329" s="102" t="s">
        <v>481</v>
      </c>
      <c r="B329" s="24">
        <f t="shared" si="55"/>
        <v>300</v>
      </c>
      <c r="C329" s="36">
        <v>30.0</v>
      </c>
      <c r="D329" s="37">
        <f t="shared" si="56"/>
        <v>300</v>
      </c>
      <c r="E329" s="39"/>
      <c r="F329" s="41"/>
      <c r="G329" s="40"/>
      <c r="H329" s="40"/>
      <c r="I329" s="39"/>
      <c r="J329" s="40"/>
      <c r="K329" s="44"/>
      <c r="L329" s="41"/>
      <c r="M329" s="41"/>
      <c r="N329" s="37">
        <f t="shared" si="57"/>
        <v>0</v>
      </c>
      <c r="O329" s="40"/>
      <c r="P329" s="40"/>
      <c r="Q329" s="67"/>
      <c r="R329" s="42">
        <f t="shared" si="58"/>
        <v>0</v>
      </c>
      <c r="S329" s="45">
        <f t="shared" si="59"/>
        <v>300</v>
      </c>
      <c r="T329" s="33">
        <f t="shared" si="60"/>
        <v>8</v>
      </c>
      <c r="U329" s="76"/>
      <c r="V329" s="3"/>
      <c r="W329" s="3"/>
      <c r="X329" s="3"/>
      <c r="Y329" s="3"/>
      <c r="Z329" s="3"/>
    </row>
    <row r="330">
      <c r="A330" s="102" t="s">
        <v>482</v>
      </c>
      <c r="B330" s="24">
        <f t="shared" si="55"/>
        <v>299</v>
      </c>
      <c r="C330" s="36">
        <v>30.0</v>
      </c>
      <c r="D330" s="37">
        <f t="shared" si="56"/>
        <v>299</v>
      </c>
      <c r="E330" s="39"/>
      <c r="F330" s="41"/>
      <c r="G330" s="40"/>
      <c r="H330" s="40"/>
      <c r="I330" s="39"/>
      <c r="J330" s="38"/>
      <c r="K330" s="44"/>
      <c r="L330" s="41"/>
      <c r="M330" s="41"/>
      <c r="N330" s="37">
        <f t="shared" si="57"/>
        <v>0</v>
      </c>
      <c r="O330" s="40"/>
      <c r="P330" s="40"/>
      <c r="Q330" s="67">
        <v>1.0</v>
      </c>
      <c r="R330" s="42">
        <f t="shared" si="58"/>
        <v>1</v>
      </c>
      <c r="S330" s="45">
        <f t="shared" si="59"/>
        <v>300</v>
      </c>
      <c r="T330" s="33">
        <f t="shared" si="60"/>
        <v>8</v>
      </c>
      <c r="U330" s="76">
        <v>1.0</v>
      </c>
      <c r="V330" s="3"/>
      <c r="W330" s="3"/>
      <c r="X330" s="3"/>
      <c r="Y330" s="3"/>
      <c r="Z330" s="3"/>
    </row>
    <row r="331">
      <c r="A331" s="102" t="s">
        <v>483</v>
      </c>
      <c r="B331" s="24">
        <f t="shared" si="55"/>
        <v>300</v>
      </c>
      <c r="C331" s="36">
        <v>30.0</v>
      </c>
      <c r="D331" s="37">
        <f t="shared" si="56"/>
        <v>300</v>
      </c>
      <c r="E331" s="39"/>
      <c r="F331" s="41"/>
      <c r="G331" s="40"/>
      <c r="H331" s="40"/>
      <c r="I331" s="41"/>
      <c r="J331" s="40"/>
      <c r="K331" s="44"/>
      <c r="L331" s="41"/>
      <c r="M331" s="41"/>
      <c r="N331" s="37">
        <f t="shared" si="57"/>
        <v>0</v>
      </c>
      <c r="O331" s="40"/>
      <c r="P331" s="40"/>
      <c r="Q331" s="67"/>
      <c r="R331" s="42">
        <f t="shared" si="58"/>
        <v>0</v>
      </c>
      <c r="S331" s="47">
        <f t="shared" si="59"/>
        <v>300</v>
      </c>
      <c r="T331" s="33">
        <f t="shared" si="60"/>
        <v>8</v>
      </c>
      <c r="U331" s="76"/>
      <c r="V331" s="3"/>
      <c r="W331" s="3"/>
      <c r="X331" s="3"/>
      <c r="Y331" s="3"/>
      <c r="Z331" s="3"/>
    </row>
    <row r="332">
      <c r="A332" s="102" t="s">
        <v>484</v>
      </c>
      <c r="B332" s="24">
        <f t="shared" si="55"/>
        <v>300</v>
      </c>
      <c r="C332" s="36">
        <v>30.0</v>
      </c>
      <c r="D332" s="37">
        <f t="shared" si="56"/>
        <v>300</v>
      </c>
      <c r="E332" s="39"/>
      <c r="F332" s="41">
        <v>0.5</v>
      </c>
      <c r="G332" s="40"/>
      <c r="H332" s="40"/>
      <c r="I332" s="39"/>
      <c r="J332" s="38"/>
      <c r="K332" s="44"/>
      <c r="L332" s="41"/>
      <c r="M332" s="41"/>
      <c r="N332" s="37">
        <f t="shared" si="57"/>
        <v>0.5</v>
      </c>
      <c r="O332" s="40"/>
      <c r="P332" s="40"/>
      <c r="Q332" s="67">
        <v>1.0</v>
      </c>
      <c r="R332" s="42">
        <f t="shared" si="58"/>
        <v>1</v>
      </c>
      <c r="S332" s="47">
        <f t="shared" si="59"/>
        <v>300.5</v>
      </c>
      <c r="T332" s="33">
        <f t="shared" si="60"/>
        <v>6</v>
      </c>
      <c r="U332" s="76"/>
      <c r="V332" s="3"/>
      <c r="W332" s="3"/>
      <c r="X332" s="3"/>
      <c r="Y332" s="3"/>
      <c r="Z332" s="3"/>
    </row>
    <row r="333">
      <c r="A333" s="102" t="s">
        <v>485</v>
      </c>
      <c r="B333" s="24">
        <f t="shared" si="55"/>
        <v>299</v>
      </c>
      <c r="C333" s="36">
        <v>30.0</v>
      </c>
      <c r="D333" s="37">
        <f t="shared" si="56"/>
        <v>299</v>
      </c>
      <c r="E333" s="38"/>
      <c r="F333" s="44"/>
      <c r="G333" s="40"/>
      <c r="H333" s="40"/>
      <c r="I333" s="39"/>
      <c r="J333" s="40"/>
      <c r="K333" s="41"/>
      <c r="L333" s="44"/>
      <c r="M333" s="41"/>
      <c r="N333" s="37">
        <f t="shared" si="57"/>
        <v>0</v>
      </c>
      <c r="O333" s="40"/>
      <c r="P333" s="40"/>
      <c r="Q333" s="67"/>
      <c r="R333" s="42">
        <f t="shared" si="58"/>
        <v>0</v>
      </c>
      <c r="S333" s="43">
        <f t="shared" si="59"/>
        <v>299</v>
      </c>
      <c r="T333" s="33">
        <f t="shared" si="60"/>
        <v>12</v>
      </c>
      <c r="U333" s="65">
        <v>1.0</v>
      </c>
      <c r="V333" s="3"/>
      <c r="W333" s="3"/>
      <c r="X333" s="3"/>
      <c r="Y333" s="3"/>
      <c r="Z333" s="3"/>
    </row>
    <row r="334">
      <c r="A334" s="102" t="s">
        <v>486</v>
      </c>
      <c r="B334" s="24">
        <f t="shared" si="55"/>
        <v>300</v>
      </c>
      <c r="C334" s="36">
        <v>30.0</v>
      </c>
      <c r="D334" s="37">
        <f t="shared" si="56"/>
        <v>300</v>
      </c>
      <c r="E334" s="39"/>
      <c r="F334" s="41"/>
      <c r="G334" s="40"/>
      <c r="H334" s="40"/>
      <c r="I334" s="39"/>
      <c r="J334" s="40"/>
      <c r="K334" s="44"/>
      <c r="L334" s="44"/>
      <c r="M334" s="41"/>
      <c r="N334" s="37">
        <f t="shared" si="57"/>
        <v>0</v>
      </c>
      <c r="O334" s="40"/>
      <c r="P334" s="40"/>
      <c r="Q334" s="67">
        <v>1.0</v>
      </c>
      <c r="R334" s="42">
        <f t="shared" si="58"/>
        <v>1</v>
      </c>
      <c r="S334" s="45">
        <f t="shared" si="59"/>
        <v>301</v>
      </c>
      <c r="T334" s="33">
        <f t="shared" si="60"/>
        <v>3</v>
      </c>
      <c r="U334" s="76"/>
      <c r="V334" s="3"/>
      <c r="W334" s="3"/>
      <c r="X334" s="3"/>
      <c r="Y334" s="3"/>
      <c r="Z334" s="3"/>
    </row>
    <row r="335">
      <c r="A335" s="102" t="s">
        <v>487</v>
      </c>
      <c r="B335" s="24">
        <f t="shared" si="55"/>
        <v>298</v>
      </c>
      <c r="C335" s="36">
        <v>30.0</v>
      </c>
      <c r="D335" s="37">
        <f t="shared" si="56"/>
        <v>298</v>
      </c>
      <c r="E335" s="39"/>
      <c r="F335" s="41"/>
      <c r="G335" s="40"/>
      <c r="H335" s="40"/>
      <c r="I335" s="41">
        <v>1.0</v>
      </c>
      <c r="J335" s="40"/>
      <c r="K335" s="44"/>
      <c r="L335" s="44"/>
      <c r="M335" s="44"/>
      <c r="N335" s="37">
        <f t="shared" si="57"/>
        <v>1</v>
      </c>
      <c r="O335" s="40"/>
      <c r="P335" s="40"/>
      <c r="Q335" s="67">
        <v>1.0</v>
      </c>
      <c r="R335" s="42">
        <f t="shared" si="58"/>
        <v>1</v>
      </c>
      <c r="S335" s="45">
        <f t="shared" si="59"/>
        <v>298</v>
      </c>
      <c r="T335" s="33">
        <f t="shared" si="60"/>
        <v>14</v>
      </c>
      <c r="U335" s="76">
        <v>2.0</v>
      </c>
      <c r="V335" s="3"/>
      <c r="W335" s="3"/>
      <c r="X335" s="3"/>
      <c r="Y335" s="3"/>
      <c r="Z335" s="3"/>
    </row>
    <row r="336">
      <c r="A336" s="102" t="s">
        <v>488</v>
      </c>
      <c r="B336" s="24">
        <f t="shared" si="55"/>
        <v>300</v>
      </c>
      <c r="C336" s="36">
        <v>30.0</v>
      </c>
      <c r="D336" s="37">
        <f t="shared" si="56"/>
        <v>300</v>
      </c>
      <c r="E336" s="39"/>
      <c r="F336" s="41"/>
      <c r="G336" s="40"/>
      <c r="H336" s="40"/>
      <c r="I336" s="41"/>
      <c r="J336" s="40"/>
      <c r="K336" s="44"/>
      <c r="L336" s="44"/>
      <c r="M336" s="41"/>
      <c r="N336" s="37">
        <f t="shared" si="57"/>
        <v>0</v>
      </c>
      <c r="O336" s="40"/>
      <c r="P336" s="40"/>
      <c r="Q336" s="67">
        <v>2.0</v>
      </c>
      <c r="R336" s="42">
        <f t="shared" si="58"/>
        <v>2</v>
      </c>
      <c r="S336" s="47">
        <f t="shared" si="59"/>
        <v>302</v>
      </c>
      <c r="T336" s="33">
        <f t="shared" si="60"/>
        <v>1</v>
      </c>
      <c r="U336" s="76"/>
      <c r="V336" s="3"/>
      <c r="W336" s="3"/>
      <c r="X336" s="3"/>
      <c r="Y336" s="3"/>
      <c r="Z336" s="3"/>
    </row>
    <row r="337">
      <c r="A337" s="103" t="s">
        <v>489</v>
      </c>
      <c r="B337" s="49">
        <f t="shared" si="55"/>
        <v>299</v>
      </c>
      <c r="C337" s="50">
        <v>30.0</v>
      </c>
      <c r="D337" s="51">
        <f t="shared" si="56"/>
        <v>299</v>
      </c>
      <c r="E337" s="68"/>
      <c r="F337" s="74"/>
      <c r="G337" s="53"/>
      <c r="H337" s="53"/>
      <c r="I337" s="74">
        <v>0.5</v>
      </c>
      <c r="J337" s="52"/>
      <c r="K337" s="74"/>
      <c r="L337" s="54"/>
      <c r="M337" s="74"/>
      <c r="N337" s="51">
        <f t="shared" si="57"/>
        <v>0.5</v>
      </c>
      <c r="O337" s="53"/>
      <c r="P337" s="53"/>
      <c r="Q337" s="69">
        <v>2.0</v>
      </c>
      <c r="R337" s="56">
        <f t="shared" si="58"/>
        <v>2</v>
      </c>
      <c r="S337" s="57">
        <f t="shared" si="59"/>
        <v>300.5</v>
      </c>
      <c r="T337" s="33">
        <f t="shared" si="60"/>
        <v>6</v>
      </c>
      <c r="U337" s="76">
        <v>1.0</v>
      </c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124"/>
      <c r="F338" s="104"/>
      <c r="G338" s="3"/>
      <c r="H338" s="3"/>
      <c r="I338" s="124"/>
      <c r="J338" s="3"/>
      <c r="K338" s="104"/>
      <c r="L338" s="104"/>
      <c r="M338" s="104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63"/>
      <c r="B339" s="63" t="s">
        <v>490</v>
      </c>
      <c r="C339" s="3"/>
      <c r="D339" s="3"/>
      <c r="E339" s="124"/>
      <c r="F339" s="104"/>
      <c r="G339" s="63"/>
      <c r="H339" s="3"/>
      <c r="I339" s="105"/>
      <c r="J339" s="62"/>
      <c r="K339" s="104"/>
      <c r="L339" s="105"/>
      <c r="M339" s="104"/>
      <c r="N339" s="62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63"/>
      <c r="B340" s="65" t="s">
        <v>610</v>
      </c>
      <c r="C340" s="3"/>
      <c r="D340" s="3"/>
      <c r="E340" s="124"/>
      <c r="F340" s="104"/>
      <c r="G340" s="63"/>
      <c r="H340" s="3"/>
      <c r="I340" s="124"/>
      <c r="J340" s="62"/>
      <c r="K340" s="104"/>
      <c r="L340" s="105"/>
      <c r="M340" s="104"/>
      <c r="N340" s="62" t="s">
        <v>160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63"/>
      <c r="B341" s="64" t="s">
        <v>611</v>
      </c>
      <c r="C341" s="3"/>
      <c r="D341" s="3"/>
      <c r="E341" s="124"/>
      <c r="F341" s="104"/>
      <c r="G341" s="63"/>
      <c r="H341" s="3"/>
      <c r="I341" s="124"/>
      <c r="J341" s="62"/>
      <c r="K341" s="104"/>
      <c r="L341" s="105"/>
      <c r="M341" s="104"/>
      <c r="N341" s="76" t="s">
        <v>612</v>
      </c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63"/>
      <c r="B342" s="64" t="s">
        <v>613</v>
      </c>
      <c r="C342" s="3"/>
      <c r="D342" s="3"/>
      <c r="E342" s="124"/>
      <c r="F342" s="104"/>
      <c r="G342" s="63"/>
      <c r="H342" s="3"/>
      <c r="I342" s="124"/>
      <c r="J342" s="62"/>
      <c r="K342" s="104"/>
      <c r="L342" s="105"/>
      <c r="M342" s="104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65" t="s">
        <v>614</v>
      </c>
      <c r="C343" s="3"/>
      <c r="D343" s="3"/>
      <c r="E343" s="124"/>
      <c r="F343" s="104"/>
      <c r="G343" s="3"/>
      <c r="H343" s="3"/>
      <c r="I343" s="124"/>
      <c r="J343" s="3"/>
      <c r="K343" s="104"/>
      <c r="L343" s="104"/>
      <c r="M343" s="125"/>
      <c r="N343" s="62" t="s">
        <v>165</v>
      </c>
      <c r="O343" s="92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65" t="s">
        <v>615</v>
      </c>
      <c r="C344" s="3"/>
      <c r="D344" s="3"/>
      <c r="E344" s="124"/>
      <c r="F344" s="104"/>
      <c r="G344" s="3"/>
      <c r="H344" s="3"/>
      <c r="I344" s="124"/>
      <c r="J344" s="3"/>
      <c r="K344" s="104"/>
      <c r="L344" s="104"/>
      <c r="M344" s="104"/>
      <c r="N344" s="76" t="s">
        <v>616</v>
      </c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65" t="s">
        <v>617</v>
      </c>
      <c r="C345" s="3"/>
      <c r="D345" s="3"/>
      <c r="E345" s="124"/>
      <c r="F345" s="104"/>
      <c r="G345" s="3"/>
      <c r="H345" s="3"/>
      <c r="I345" s="124"/>
      <c r="J345" s="3"/>
      <c r="K345" s="104"/>
      <c r="L345" s="104"/>
      <c r="M345" s="104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124"/>
      <c r="F346" s="104"/>
      <c r="G346" s="3"/>
      <c r="H346" s="3"/>
      <c r="I346" s="124"/>
      <c r="J346" s="3"/>
      <c r="K346" s="104"/>
      <c r="L346" s="104"/>
      <c r="M346" s="104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124"/>
      <c r="F347" s="104"/>
      <c r="G347" s="3"/>
      <c r="H347" s="3"/>
      <c r="I347" s="124"/>
      <c r="J347" s="3"/>
      <c r="K347" s="104"/>
      <c r="L347" s="104"/>
      <c r="M347" s="104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124"/>
      <c r="F348" s="104"/>
      <c r="G348" s="3"/>
      <c r="H348" s="3"/>
      <c r="I348" s="124"/>
      <c r="J348" s="3"/>
      <c r="K348" s="104"/>
      <c r="L348" s="104"/>
      <c r="M348" s="104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" t="s">
        <v>618</v>
      </c>
      <c r="U349" s="3"/>
      <c r="V349" s="3"/>
      <c r="W349" s="3"/>
      <c r="X349" s="3"/>
      <c r="Y349" s="3"/>
      <c r="Z349" s="3"/>
    </row>
    <row r="350">
      <c r="A350" s="1" t="s">
        <v>173</v>
      </c>
      <c r="U350" s="3"/>
      <c r="V350" s="3"/>
      <c r="W350" s="3"/>
      <c r="X350" s="3"/>
      <c r="Y350" s="3"/>
      <c r="Z350" s="3"/>
    </row>
    <row r="351">
      <c r="A351" s="2"/>
      <c r="B351" s="4"/>
      <c r="C351" s="2"/>
      <c r="D351" s="2"/>
      <c r="E351" s="78"/>
      <c r="F351" s="98"/>
      <c r="G351" s="2"/>
      <c r="H351" s="2"/>
      <c r="I351" s="78"/>
      <c r="J351" s="2"/>
      <c r="K351" s="98"/>
      <c r="L351" s="98"/>
      <c r="M351" s="98"/>
      <c r="N351" s="2"/>
      <c r="O351" s="2"/>
      <c r="P351" s="2"/>
      <c r="Q351" s="2"/>
      <c r="R351" s="2"/>
      <c r="S351" s="2"/>
      <c r="T351" s="2"/>
      <c r="U351" s="3"/>
      <c r="V351" s="3"/>
      <c r="W351" s="3"/>
      <c r="X351" s="3"/>
      <c r="Y351" s="3"/>
      <c r="Z351" s="3"/>
    </row>
    <row r="352">
      <c r="A352" s="8" t="s">
        <v>2</v>
      </c>
      <c r="B352" s="9" t="s">
        <v>3</v>
      </c>
      <c r="C352" s="10"/>
      <c r="D352" s="11"/>
      <c r="E352" s="12" t="s">
        <v>4</v>
      </c>
      <c r="F352" s="10"/>
      <c r="G352" s="10"/>
      <c r="H352" s="10"/>
      <c r="I352" s="10"/>
      <c r="J352" s="10"/>
      <c r="K352" s="10"/>
      <c r="L352" s="10"/>
      <c r="M352" s="10"/>
      <c r="N352" s="11"/>
      <c r="O352" s="13" t="s">
        <v>5</v>
      </c>
      <c r="P352" s="10"/>
      <c r="Q352" s="10"/>
      <c r="R352" s="11"/>
      <c r="S352" s="14" t="s">
        <v>6</v>
      </c>
      <c r="T352" s="14" t="s">
        <v>7</v>
      </c>
      <c r="U352" s="3"/>
      <c r="V352" s="3"/>
      <c r="W352" s="3"/>
      <c r="X352" s="3"/>
      <c r="Y352" s="3"/>
      <c r="Z352" s="3"/>
    </row>
    <row r="353">
      <c r="A353" s="15"/>
      <c r="B353" s="16" t="s">
        <v>8</v>
      </c>
      <c r="C353" s="17" t="s">
        <v>9</v>
      </c>
      <c r="D353" s="14" t="s">
        <v>10</v>
      </c>
      <c r="E353" s="17" t="s">
        <v>11</v>
      </c>
      <c r="F353" s="18" t="s">
        <v>12</v>
      </c>
      <c r="G353" s="17" t="s">
        <v>13</v>
      </c>
      <c r="H353" s="17" t="s">
        <v>14</v>
      </c>
      <c r="I353" s="17" t="s">
        <v>15</v>
      </c>
      <c r="J353" s="17" t="s">
        <v>16</v>
      </c>
      <c r="K353" s="18" t="s">
        <v>17</v>
      </c>
      <c r="L353" s="18" t="s">
        <v>18</v>
      </c>
      <c r="M353" s="18" t="s">
        <v>19</v>
      </c>
      <c r="N353" s="14" t="s">
        <v>20</v>
      </c>
      <c r="O353" s="17" t="s">
        <v>21</v>
      </c>
      <c r="P353" s="17" t="s">
        <v>22</v>
      </c>
      <c r="Q353" s="17" t="s">
        <v>23</v>
      </c>
      <c r="R353" s="14" t="s">
        <v>24</v>
      </c>
      <c r="S353" s="19"/>
      <c r="T353" s="19"/>
      <c r="U353" s="3"/>
      <c r="V353" s="3"/>
      <c r="W353" s="3"/>
      <c r="X353" s="3"/>
      <c r="Y353" s="3"/>
      <c r="Z353" s="3"/>
    </row>
    <row r="354">
      <c r="A354" s="20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3"/>
      <c r="V354" s="3"/>
      <c r="W354" s="3"/>
      <c r="X354" s="3"/>
      <c r="Y354" s="3"/>
      <c r="Z354" s="3"/>
    </row>
    <row r="355">
      <c r="A355" s="100">
        <v>12.0</v>
      </c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3"/>
      <c r="V355" s="3"/>
      <c r="W355" s="3"/>
      <c r="X355" s="3"/>
      <c r="Y355" s="3"/>
      <c r="Z355" s="3"/>
    </row>
    <row r="356">
      <c r="A356" s="101" t="s">
        <v>476</v>
      </c>
      <c r="B356" s="24">
        <f t="shared" ref="B356:B369" si="61">300-U356</f>
        <v>300</v>
      </c>
      <c r="C356" s="25">
        <v>30.0</v>
      </c>
      <c r="D356" s="26">
        <f t="shared" ref="D356:D369" si="62">B356</f>
        <v>300</v>
      </c>
      <c r="E356" s="28"/>
      <c r="F356" s="73"/>
      <c r="G356" s="29"/>
      <c r="H356" s="29"/>
      <c r="I356" s="28"/>
      <c r="J356" s="29"/>
      <c r="K356" s="30"/>
      <c r="L356" s="30"/>
      <c r="M356" s="73"/>
      <c r="N356" s="26">
        <f t="shared" ref="N356:N369" si="63">SUM(E356:M356)</f>
        <v>0</v>
      </c>
      <c r="O356" s="29"/>
      <c r="P356" s="29"/>
      <c r="Q356" s="83">
        <v>0.5</v>
      </c>
      <c r="R356" s="31">
        <f t="shared" ref="R356:R369" si="64">SUM(O356:Q356)</f>
        <v>0.5</v>
      </c>
      <c r="S356" s="32">
        <f t="shared" ref="S356:S369" si="65">D356-N356+R356</f>
        <v>300.5</v>
      </c>
      <c r="T356" s="33">
        <f t="shared" ref="T356:T369" si="66">RANK(S356,$S$356:$S$369,0)</f>
        <v>6</v>
      </c>
      <c r="U356" s="76"/>
      <c r="V356" s="3"/>
      <c r="W356" s="3"/>
      <c r="X356" s="3"/>
      <c r="Y356" s="3"/>
      <c r="Z356" s="3"/>
    </row>
    <row r="357">
      <c r="A357" s="102" t="s">
        <v>477</v>
      </c>
      <c r="B357" s="24">
        <f t="shared" si="61"/>
        <v>300</v>
      </c>
      <c r="C357" s="36">
        <v>30.0</v>
      </c>
      <c r="D357" s="37">
        <f t="shared" si="62"/>
        <v>300</v>
      </c>
      <c r="E357" s="41"/>
      <c r="F357" s="41">
        <v>1.0</v>
      </c>
      <c r="G357" s="40"/>
      <c r="H357" s="40"/>
      <c r="I357" s="41">
        <v>0.5</v>
      </c>
      <c r="J357" s="40"/>
      <c r="K357" s="44"/>
      <c r="L357" s="41"/>
      <c r="M357" s="41"/>
      <c r="N357" s="37">
        <f t="shared" si="63"/>
        <v>1.5</v>
      </c>
      <c r="O357" s="40"/>
      <c r="P357" s="40"/>
      <c r="Q357" s="67"/>
      <c r="R357" s="42">
        <f t="shared" si="64"/>
        <v>0</v>
      </c>
      <c r="S357" s="43">
        <f t="shared" si="65"/>
        <v>298.5</v>
      </c>
      <c r="T357" s="33">
        <f t="shared" si="66"/>
        <v>13</v>
      </c>
      <c r="U357" s="76"/>
      <c r="V357" s="3"/>
      <c r="W357" s="3"/>
      <c r="X357" s="3"/>
      <c r="Y357" s="3"/>
      <c r="Z357" s="3"/>
    </row>
    <row r="358">
      <c r="A358" s="102" t="s">
        <v>478</v>
      </c>
      <c r="B358" s="24">
        <f t="shared" si="61"/>
        <v>300</v>
      </c>
      <c r="C358" s="36">
        <v>30.0</v>
      </c>
      <c r="D358" s="37">
        <f t="shared" si="62"/>
        <v>300</v>
      </c>
      <c r="E358" s="41"/>
      <c r="F358" s="41">
        <v>1.0</v>
      </c>
      <c r="G358" s="40"/>
      <c r="H358" s="40"/>
      <c r="I358" s="39"/>
      <c r="J358" s="40"/>
      <c r="K358" s="44"/>
      <c r="L358" s="41"/>
      <c r="M358" s="41"/>
      <c r="N358" s="37">
        <f t="shared" si="63"/>
        <v>1</v>
      </c>
      <c r="O358" s="40"/>
      <c r="P358" s="40"/>
      <c r="Q358" s="67">
        <v>2.5</v>
      </c>
      <c r="R358" s="42">
        <f t="shared" si="64"/>
        <v>2.5</v>
      </c>
      <c r="S358" s="45">
        <f t="shared" si="65"/>
        <v>301.5</v>
      </c>
      <c r="T358" s="33">
        <f t="shared" si="66"/>
        <v>2</v>
      </c>
      <c r="U358" s="76"/>
      <c r="V358" s="3"/>
      <c r="W358" s="3"/>
      <c r="X358" s="3"/>
      <c r="Y358" s="3"/>
      <c r="Z358" s="3"/>
    </row>
    <row r="359">
      <c r="A359" s="102" t="s">
        <v>479</v>
      </c>
      <c r="B359" s="24">
        <f t="shared" si="61"/>
        <v>300</v>
      </c>
      <c r="C359" s="36">
        <v>30.0</v>
      </c>
      <c r="D359" s="37">
        <f t="shared" si="62"/>
        <v>300</v>
      </c>
      <c r="E359" s="39"/>
      <c r="F359" s="41"/>
      <c r="G359" s="40"/>
      <c r="H359" s="40"/>
      <c r="I359" s="41"/>
      <c r="J359" s="40"/>
      <c r="K359" s="44"/>
      <c r="L359" s="44"/>
      <c r="M359" s="41"/>
      <c r="N359" s="37">
        <f t="shared" si="63"/>
        <v>0</v>
      </c>
      <c r="O359" s="40"/>
      <c r="P359" s="40"/>
      <c r="Q359" s="67">
        <v>1.0</v>
      </c>
      <c r="R359" s="42">
        <f t="shared" si="64"/>
        <v>1</v>
      </c>
      <c r="S359" s="45">
        <f t="shared" si="65"/>
        <v>301</v>
      </c>
      <c r="T359" s="33">
        <f t="shared" si="66"/>
        <v>4</v>
      </c>
      <c r="U359" s="76"/>
      <c r="V359" s="3"/>
      <c r="W359" s="3"/>
      <c r="X359" s="3"/>
      <c r="Y359" s="3"/>
      <c r="Z359" s="3"/>
    </row>
    <row r="360">
      <c r="A360" s="102" t="s">
        <v>480</v>
      </c>
      <c r="B360" s="24">
        <f t="shared" si="61"/>
        <v>300</v>
      </c>
      <c r="C360" s="36">
        <v>30.0</v>
      </c>
      <c r="D360" s="37">
        <f t="shared" si="62"/>
        <v>300</v>
      </c>
      <c r="E360" s="41">
        <v>1.5</v>
      </c>
      <c r="F360" s="41">
        <v>0.5</v>
      </c>
      <c r="G360" s="40"/>
      <c r="H360" s="40"/>
      <c r="I360" s="39"/>
      <c r="J360" s="40"/>
      <c r="K360" s="44"/>
      <c r="L360" s="44"/>
      <c r="M360" s="41"/>
      <c r="N360" s="37">
        <f t="shared" si="63"/>
        <v>2</v>
      </c>
      <c r="O360" s="40"/>
      <c r="P360" s="40"/>
      <c r="Q360" s="67">
        <v>2.0</v>
      </c>
      <c r="R360" s="42">
        <f t="shared" si="64"/>
        <v>2</v>
      </c>
      <c r="S360" s="45">
        <f t="shared" si="65"/>
        <v>300</v>
      </c>
      <c r="T360" s="33">
        <f t="shared" si="66"/>
        <v>9</v>
      </c>
      <c r="U360" s="76"/>
      <c r="V360" s="3"/>
      <c r="W360" s="3"/>
      <c r="X360" s="3"/>
      <c r="Y360" s="3"/>
      <c r="Z360" s="3"/>
    </row>
    <row r="361">
      <c r="A361" s="102" t="s">
        <v>481</v>
      </c>
      <c r="B361" s="24">
        <f t="shared" si="61"/>
        <v>300</v>
      </c>
      <c r="C361" s="36">
        <v>30.0</v>
      </c>
      <c r="D361" s="37">
        <f t="shared" si="62"/>
        <v>300</v>
      </c>
      <c r="E361" s="39"/>
      <c r="F361" s="41"/>
      <c r="G361" s="40"/>
      <c r="H361" s="40"/>
      <c r="I361" s="39"/>
      <c r="J361" s="40"/>
      <c r="K361" s="44"/>
      <c r="L361" s="41"/>
      <c r="M361" s="41"/>
      <c r="N361" s="37">
        <f t="shared" si="63"/>
        <v>0</v>
      </c>
      <c r="O361" s="40"/>
      <c r="P361" s="40"/>
      <c r="Q361" s="67"/>
      <c r="R361" s="42">
        <f t="shared" si="64"/>
        <v>0</v>
      </c>
      <c r="S361" s="45">
        <f t="shared" si="65"/>
        <v>300</v>
      </c>
      <c r="T361" s="33">
        <f t="shared" si="66"/>
        <v>9</v>
      </c>
      <c r="U361" s="76"/>
      <c r="V361" s="3"/>
      <c r="W361" s="3"/>
      <c r="X361" s="3"/>
      <c r="Y361" s="3"/>
      <c r="Z361" s="3"/>
    </row>
    <row r="362">
      <c r="A362" s="102" t="s">
        <v>482</v>
      </c>
      <c r="B362" s="24">
        <f t="shared" si="61"/>
        <v>298</v>
      </c>
      <c r="C362" s="36">
        <v>30.0</v>
      </c>
      <c r="D362" s="37">
        <f t="shared" si="62"/>
        <v>298</v>
      </c>
      <c r="E362" s="39"/>
      <c r="F362" s="41"/>
      <c r="G362" s="40"/>
      <c r="H362" s="40"/>
      <c r="I362" s="39"/>
      <c r="J362" s="38"/>
      <c r="K362" s="44"/>
      <c r="L362" s="41"/>
      <c r="M362" s="41"/>
      <c r="N362" s="37">
        <f t="shared" si="63"/>
        <v>0</v>
      </c>
      <c r="O362" s="40"/>
      <c r="P362" s="40"/>
      <c r="Q362" s="67"/>
      <c r="R362" s="42">
        <f t="shared" si="64"/>
        <v>0</v>
      </c>
      <c r="S362" s="45">
        <f t="shared" si="65"/>
        <v>298</v>
      </c>
      <c r="T362" s="33">
        <f t="shared" si="66"/>
        <v>14</v>
      </c>
      <c r="U362" s="76">
        <v>2.0</v>
      </c>
      <c r="V362" s="3"/>
      <c r="W362" s="3"/>
      <c r="X362" s="3"/>
      <c r="Y362" s="3"/>
      <c r="Z362" s="3"/>
    </row>
    <row r="363">
      <c r="A363" s="102" t="s">
        <v>483</v>
      </c>
      <c r="B363" s="24">
        <f t="shared" si="61"/>
        <v>300</v>
      </c>
      <c r="C363" s="36">
        <v>30.0</v>
      </c>
      <c r="D363" s="37">
        <f t="shared" si="62"/>
        <v>300</v>
      </c>
      <c r="E363" s="39"/>
      <c r="F363" s="41"/>
      <c r="G363" s="40"/>
      <c r="H363" s="40"/>
      <c r="I363" s="41"/>
      <c r="J363" s="40"/>
      <c r="K363" s="44"/>
      <c r="L363" s="41"/>
      <c r="M363" s="41"/>
      <c r="N363" s="37">
        <f t="shared" si="63"/>
        <v>0</v>
      </c>
      <c r="O363" s="40"/>
      <c r="P363" s="40"/>
      <c r="Q363" s="67">
        <v>0.5</v>
      </c>
      <c r="R363" s="42">
        <f t="shared" si="64"/>
        <v>0.5</v>
      </c>
      <c r="S363" s="47">
        <f t="shared" si="65"/>
        <v>300.5</v>
      </c>
      <c r="T363" s="33">
        <f t="shared" si="66"/>
        <v>6</v>
      </c>
      <c r="U363" s="76"/>
      <c r="V363" s="3"/>
      <c r="W363" s="3"/>
      <c r="X363" s="3"/>
      <c r="Y363" s="3"/>
      <c r="Z363" s="3"/>
    </row>
    <row r="364">
      <c r="A364" s="102" t="s">
        <v>484</v>
      </c>
      <c r="B364" s="24">
        <f t="shared" si="61"/>
        <v>300</v>
      </c>
      <c r="C364" s="36">
        <v>30.0</v>
      </c>
      <c r="D364" s="37">
        <f t="shared" si="62"/>
        <v>300</v>
      </c>
      <c r="E364" s="39"/>
      <c r="F364" s="41"/>
      <c r="G364" s="40"/>
      <c r="H364" s="40"/>
      <c r="I364" s="39"/>
      <c r="J364" s="38"/>
      <c r="K364" s="44"/>
      <c r="L364" s="41"/>
      <c r="M364" s="41"/>
      <c r="N364" s="37">
        <f t="shared" si="63"/>
        <v>0</v>
      </c>
      <c r="O364" s="40"/>
      <c r="P364" s="40"/>
      <c r="Q364" s="67">
        <v>1.5</v>
      </c>
      <c r="R364" s="42">
        <f t="shared" si="64"/>
        <v>1.5</v>
      </c>
      <c r="S364" s="47">
        <f t="shared" si="65"/>
        <v>301.5</v>
      </c>
      <c r="T364" s="33">
        <f t="shared" si="66"/>
        <v>2</v>
      </c>
      <c r="U364" s="76"/>
      <c r="V364" s="3"/>
      <c r="W364" s="3"/>
      <c r="X364" s="3"/>
      <c r="Y364" s="3"/>
      <c r="Z364" s="3"/>
    </row>
    <row r="365">
      <c r="A365" s="102" t="s">
        <v>485</v>
      </c>
      <c r="B365" s="24">
        <f t="shared" si="61"/>
        <v>300</v>
      </c>
      <c r="C365" s="36">
        <v>30.0</v>
      </c>
      <c r="D365" s="37">
        <f t="shared" si="62"/>
        <v>300</v>
      </c>
      <c r="E365" s="38"/>
      <c r="F365" s="41">
        <v>0.5</v>
      </c>
      <c r="G365" s="40"/>
      <c r="H365" s="40"/>
      <c r="I365" s="39"/>
      <c r="J365" s="40"/>
      <c r="K365" s="41"/>
      <c r="L365" s="44"/>
      <c r="M365" s="41"/>
      <c r="N365" s="37">
        <f t="shared" si="63"/>
        <v>0.5</v>
      </c>
      <c r="O365" s="40"/>
      <c r="P365" s="40"/>
      <c r="Q365" s="67">
        <v>0.5</v>
      </c>
      <c r="R365" s="42">
        <f t="shared" si="64"/>
        <v>0.5</v>
      </c>
      <c r="S365" s="43">
        <f t="shared" si="65"/>
        <v>300</v>
      </c>
      <c r="T365" s="33">
        <f t="shared" si="66"/>
        <v>9</v>
      </c>
      <c r="U365" s="3"/>
      <c r="V365" s="3"/>
      <c r="W365" s="3"/>
      <c r="X365" s="3"/>
      <c r="Y365" s="3"/>
      <c r="Z365" s="3"/>
    </row>
    <row r="366">
      <c r="A366" s="102" t="s">
        <v>486</v>
      </c>
      <c r="B366" s="24">
        <f t="shared" si="61"/>
        <v>300</v>
      </c>
      <c r="C366" s="36">
        <v>30.0</v>
      </c>
      <c r="D366" s="37">
        <f t="shared" si="62"/>
        <v>300</v>
      </c>
      <c r="E366" s="39"/>
      <c r="F366" s="41"/>
      <c r="G366" s="40"/>
      <c r="H366" s="40"/>
      <c r="I366" s="39"/>
      <c r="J366" s="40"/>
      <c r="K366" s="44"/>
      <c r="L366" s="44"/>
      <c r="M366" s="41"/>
      <c r="N366" s="37">
        <f t="shared" si="63"/>
        <v>0</v>
      </c>
      <c r="O366" s="40"/>
      <c r="P366" s="40"/>
      <c r="Q366" s="67"/>
      <c r="R366" s="42">
        <f t="shared" si="64"/>
        <v>0</v>
      </c>
      <c r="S366" s="45">
        <f t="shared" si="65"/>
        <v>300</v>
      </c>
      <c r="T366" s="33">
        <f t="shared" si="66"/>
        <v>9</v>
      </c>
      <c r="U366" s="76"/>
      <c r="V366" s="3"/>
      <c r="W366" s="3"/>
      <c r="X366" s="3"/>
      <c r="Y366" s="3"/>
      <c r="Z366" s="3"/>
    </row>
    <row r="367">
      <c r="A367" s="102" t="s">
        <v>487</v>
      </c>
      <c r="B367" s="24">
        <f t="shared" si="61"/>
        <v>300</v>
      </c>
      <c r="C367" s="36">
        <v>30.0</v>
      </c>
      <c r="D367" s="37">
        <f t="shared" si="62"/>
        <v>300</v>
      </c>
      <c r="E367" s="39"/>
      <c r="F367" s="41"/>
      <c r="G367" s="40"/>
      <c r="H367" s="40"/>
      <c r="I367" s="41"/>
      <c r="J367" s="40"/>
      <c r="K367" s="44"/>
      <c r="L367" s="44"/>
      <c r="M367" s="44"/>
      <c r="N367" s="37">
        <f t="shared" si="63"/>
        <v>0</v>
      </c>
      <c r="O367" s="40"/>
      <c r="P367" s="40"/>
      <c r="Q367" s="67">
        <v>0.5</v>
      </c>
      <c r="R367" s="42">
        <f t="shared" si="64"/>
        <v>0.5</v>
      </c>
      <c r="S367" s="45">
        <f t="shared" si="65"/>
        <v>300.5</v>
      </c>
      <c r="T367" s="33">
        <f t="shared" si="66"/>
        <v>6</v>
      </c>
      <c r="U367" s="76"/>
      <c r="V367" s="3"/>
      <c r="W367" s="3"/>
      <c r="X367" s="3"/>
      <c r="Y367" s="3"/>
      <c r="Z367" s="3"/>
    </row>
    <row r="368">
      <c r="A368" s="102" t="s">
        <v>488</v>
      </c>
      <c r="B368" s="24">
        <f t="shared" si="61"/>
        <v>300</v>
      </c>
      <c r="C368" s="36">
        <v>30.0</v>
      </c>
      <c r="D368" s="37">
        <f t="shared" si="62"/>
        <v>300</v>
      </c>
      <c r="E368" s="39"/>
      <c r="F368" s="41"/>
      <c r="G368" s="40"/>
      <c r="H368" s="40"/>
      <c r="I368" s="41"/>
      <c r="J368" s="40"/>
      <c r="K368" s="44"/>
      <c r="L368" s="44"/>
      <c r="M368" s="41"/>
      <c r="N368" s="37">
        <f t="shared" si="63"/>
        <v>0</v>
      </c>
      <c r="O368" s="40"/>
      <c r="P368" s="40"/>
      <c r="Q368" s="67">
        <v>3.0</v>
      </c>
      <c r="R368" s="42">
        <f t="shared" si="64"/>
        <v>3</v>
      </c>
      <c r="S368" s="47">
        <f t="shared" si="65"/>
        <v>303</v>
      </c>
      <c r="T368" s="33">
        <f t="shared" si="66"/>
        <v>1</v>
      </c>
      <c r="U368" s="76"/>
      <c r="V368" s="3"/>
      <c r="W368" s="3"/>
      <c r="X368" s="3"/>
      <c r="Y368" s="3"/>
      <c r="Z368" s="3"/>
    </row>
    <row r="369">
      <c r="A369" s="103" t="s">
        <v>489</v>
      </c>
      <c r="B369" s="49">
        <f t="shared" si="61"/>
        <v>300</v>
      </c>
      <c r="C369" s="50">
        <v>30.0</v>
      </c>
      <c r="D369" s="51">
        <f t="shared" si="62"/>
        <v>300</v>
      </c>
      <c r="E369" s="74">
        <v>1.5</v>
      </c>
      <c r="F369" s="74"/>
      <c r="G369" s="53"/>
      <c r="H369" s="53"/>
      <c r="I369" s="74"/>
      <c r="J369" s="52"/>
      <c r="K369" s="74"/>
      <c r="L369" s="54"/>
      <c r="M369" s="74"/>
      <c r="N369" s="51">
        <f t="shared" si="63"/>
        <v>1.5</v>
      </c>
      <c r="O369" s="53"/>
      <c r="P369" s="53"/>
      <c r="Q369" s="69">
        <v>2.5</v>
      </c>
      <c r="R369" s="56">
        <f t="shared" si="64"/>
        <v>2.5</v>
      </c>
      <c r="S369" s="57">
        <f t="shared" si="65"/>
        <v>301</v>
      </c>
      <c r="T369" s="33">
        <f t="shared" si="66"/>
        <v>4</v>
      </c>
      <c r="U369" s="76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124"/>
      <c r="F370" s="104"/>
      <c r="G370" s="3"/>
      <c r="H370" s="3"/>
      <c r="I370" s="124"/>
      <c r="J370" s="3"/>
      <c r="K370" s="104"/>
      <c r="L370" s="104"/>
      <c r="M370" s="104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63"/>
      <c r="B371" s="63" t="s">
        <v>490</v>
      </c>
      <c r="C371" s="3"/>
      <c r="D371" s="3"/>
      <c r="E371" s="124"/>
      <c r="F371" s="104"/>
      <c r="G371" s="63"/>
      <c r="H371" s="3"/>
      <c r="I371" s="105"/>
      <c r="J371" s="62"/>
      <c r="K371" s="104"/>
      <c r="L371" s="105"/>
      <c r="M371" s="104"/>
      <c r="N371" s="62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63"/>
      <c r="B372" s="64" t="s">
        <v>619</v>
      </c>
      <c r="C372" s="3"/>
      <c r="D372" s="3"/>
      <c r="E372" s="124"/>
      <c r="F372" s="104"/>
      <c r="G372" s="63"/>
      <c r="H372" s="3"/>
      <c r="I372" s="124"/>
      <c r="J372" s="62"/>
      <c r="K372" s="104"/>
      <c r="L372" s="105"/>
      <c r="M372" s="104"/>
      <c r="N372" s="70" t="s">
        <v>175</v>
      </c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63"/>
      <c r="B373" s="64" t="s">
        <v>620</v>
      </c>
      <c r="C373" s="3"/>
      <c r="D373" s="3"/>
      <c r="E373" s="124"/>
      <c r="F373" s="104"/>
      <c r="G373" s="63"/>
      <c r="H373" s="3"/>
      <c r="I373" s="124"/>
      <c r="J373" s="62"/>
      <c r="K373" s="104"/>
      <c r="L373" s="105"/>
      <c r="M373" s="104"/>
      <c r="N373" s="79" t="s">
        <v>621</v>
      </c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63"/>
      <c r="B374" s="64" t="s">
        <v>622</v>
      </c>
      <c r="C374" s="3"/>
      <c r="D374" s="3"/>
      <c r="E374" s="124"/>
      <c r="F374" s="104"/>
      <c r="G374" s="63"/>
      <c r="H374" s="3"/>
      <c r="I374" s="124"/>
      <c r="J374" s="62"/>
      <c r="K374" s="104"/>
      <c r="L374" s="105"/>
      <c r="M374" s="104"/>
      <c r="N374" s="79" t="s">
        <v>623</v>
      </c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63"/>
      <c r="B375" s="64" t="s">
        <v>624</v>
      </c>
      <c r="C375" s="3"/>
      <c r="D375" s="3"/>
      <c r="E375" s="124"/>
      <c r="F375" s="104"/>
      <c r="G375" s="63"/>
      <c r="H375" s="3"/>
      <c r="I375" s="124"/>
      <c r="J375" s="62"/>
      <c r="K375" s="104"/>
      <c r="L375" s="105"/>
      <c r="M375" s="104"/>
      <c r="N375" s="79" t="s">
        <v>625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65" t="s">
        <v>626</v>
      </c>
      <c r="C376" s="3"/>
      <c r="D376" s="3"/>
      <c r="E376" s="124"/>
      <c r="F376" s="104"/>
      <c r="G376" s="3"/>
      <c r="H376" s="3"/>
      <c r="I376" s="124"/>
      <c r="J376" s="3"/>
      <c r="K376" s="104"/>
      <c r="L376" s="104"/>
      <c r="M376" s="104"/>
      <c r="N376" s="94" t="s">
        <v>627</v>
      </c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124"/>
      <c r="F377" s="104"/>
      <c r="G377" s="3"/>
      <c r="H377" s="3"/>
      <c r="I377" s="124"/>
      <c r="J377" s="3"/>
      <c r="K377" s="104"/>
      <c r="L377" s="104"/>
      <c r="M377" s="104"/>
      <c r="N377" s="79" t="s">
        <v>628</v>
      </c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124"/>
      <c r="F378" s="104"/>
      <c r="G378" s="3"/>
      <c r="H378" s="3"/>
      <c r="I378" s="124"/>
      <c r="J378" s="3"/>
      <c r="K378" s="104"/>
      <c r="L378" s="104"/>
      <c r="M378" s="104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124"/>
      <c r="F379" s="104"/>
      <c r="G379" s="3"/>
      <c r="H379" s="3"/>
      <c r="I379" s="124"/>
      <c r="J379" s="3"/>
      <c r="K379" s="104"/>
      <c r="L379" s="104"/>
      <c r="M379" s="104"/>
      <c r="N379" s="62" t="s">
        <v>189</v>
      </c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124"/>
      <c r="F380" s="104"/>
      <c r="G380" s="3"/>
      <c r="H380" s="3"/>
      <c r="I380" s="124"/>
      <c r="J380" s="3"/>
      <c r="K380" s="104"/>
      <c r="L380" s="104"/>
      <c r="M380" s="104"/>
      <c r="N380" s="76" t="s">
        <v>629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124"/>
      <c r="F381" s="104"/>
      <c r="G381" s="3"/>
      <c r="H381" s="3"/>
      <c r="I381" s="124"/>
      <c r="J381" s="3"/>
      <c r="K381" s="104"/>
      <c r="L381" s="104"/>
      <c r="M381" s="104"/>
      <c r="N381" s="76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124"/>
      <c r="F382" s="104"/>
      <c r="G382" s="3"/>
      <c r="H382" s="3"/>
      <c r="I382" s="124"/>
      <c r="J382" s="3"/>
      <c r="K382" s="104"/>
      <c r="L382" s="104"/>
      <c r="M382" s="104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124"/>
      <c r="F383" s="104"/>
      <c r="G383" s="3"/>
      <c r="H383" s="3"/>
      <c r="I383" s="124"/>
      <c r="J383" s="3"/>
      <c r="K383" s="104"/>
      <c r="L383" s="104"/>
      <c r="M383" s="104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" t="s">
        <v>630</v>
      </c>
      <c r="U384" s="3"/>
      <c r="V384" s="3"/>
      <c r="W384" s="3"/>
      <c r="X384" s="3"/>
      <c r="Y384" s="3"/>
      <c r="Z384" s="3"/>
    </row>
    <row r="385">
      <c r="A385" s="1" t="s">
        <v>193</v>
      </c>
      <c r="U385" s="3"/>
      <c r="V385" s="3"/>
      <c r="W385" s="3"/>
      <c r="X385" s="3"/>
      <c r="Y385" s="3"/>
      <c r="Z385" s="3"/>
    </row>
    <row r="386">
      <c r="A386" s="2"/>
      <c r="B386" s="4"/>
      <c r="C386" s="2"/>
      <c r="D386" s="2"/>
      <c r="E386" s="78"/>
      <c r="F386" s="98"/>
      <c r="G386" s="2"/>
      <c r="H386" s="2"/>
      <c r="I386" s="78"/>
      <c r="J386" s="2"/>
      <c r="K386" s="98"/>
      <c r="L386" s="98"/>
      <c r="M386" s="98"/>
      <c r="N386" s="2"/>
      <c r="O386" s="2"/>
      <c r="P386" s="2"/>
      <c r="Q386" s="2"/>
      <c r="R386" s="2"/>
      <c r="S386" s="2"/>
      <c r="T386" s="2"/>
      <c r="U386" s="3"/>
      <c r="V386" s="3"/>
      <c r="W386" s="3"/>
      <c r="X386" s="3"/>
      <c r="Y386" s="3"/>
      <c r="Z386" s="3"/>
    </row>
    <row r="387">
      <c r="A387" s="8" t="s">
        <v>2</v>
      </c>
      <c r="B387" s="9" t="s">
        <v>3</v>
      </c>
      <c r="C387" s="10"/>
      <c r="D387" s="11"/>
      <c r="E387" s="12" t="s">
        <v>4</v>
      </c>
      <c r="F387" s="10"/>
      <c r="G387" s="10"/>
      <c r="H387" s="10"/>
      <c r="I387" s="10"/>
      <c r="J387" s="10"/>
      <c r="K387" s="10"/>
      <c r="L387" s="10"/>
      <c r="M387" s="10"/>
      <c r="N387" s="11"/>
      <c r="O387" s="13" t="s">
        <v>5</v>
      </c>
      <c r="P387" s="10"/>
      <c r="Q387" s="10"/>
      <c r="R387" s="11"/>
      <c r="S387" s="14" t="s">
        <v>6</v>
      </c>
      <c r="T387" s="14" t="s">
        <v>7</v>
      </c>
      <c r="U387" s="3"/>
      <c r="V387" s="3"/>
      <c r="W387" s="3"/>
      <c r="X387" s="3"/>
      <c r="Y387" s="3"/>
      <c r="Z387" s="3"/>
    </row>
    <row r="388">
      <c r="A388" s="15"/>
      <c r="B388" s="16" t="s">
        <v>8</v>
      </c>
      <c r="C388" s="17" t="s">
        <v>9</v>
      </c>
      <c r="D388" s="14" t="s">
        <v>10</v>
      </c>
      <c r="E388" s="17" t="s">
        <v>11</v>
      </c>
      <c r="F388" s="18" t="s">
        <v>12</v>
      </c>
      <c r="G388" s="17" t="s">
        <v>13</v>
      </c>
      <c r="H388" s="17" t="s">
        <v>14</v>
      </c>
      <c r="I388" s="17" t="s">
        <v>15</v>
      </c>
      <c r="J388" s="17" t="s">
        <v>16</v>
      </c>
      <c r="K388" s="18" t="s">
        <v>17</v>
      </c>
      <c r="L388" s="18" t="s">
        <v>18</v>
      </c>
      <c r="M388" s="18" t="s">
        <v>19</v>
      </c>
      <c r="N388" s="14" t="s">
        <v>20</v>
      </c>
      <c r="O388" s="17" t="s">
        <v>21</v>
      </c>
      <c r="P388" s="17" t="s">
        <v>22</v>
      </c>
      <c r="Q388" s="17" t="s">
        <v>23</v>
      </c>
      <c r="R388" s="14" t="s">
        <v>24</v>
      </c>
      <c r="S388" s="19"/>
      <c r="T388" s="19"/>
      <c r="U388" s="3"/>
      <c r="V388" s="3"/>
      <c r="W388" s="3"/>
      <c r="X388" s="3"/>
      <c r="Y388" s="3"/>
      <c r="Z388" s="3"/>
    </row>
    <row r="389">
      <c r="A389" s="20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3"/>
      <c r="V389" s="3"/>
      <c r="W389" s="3"/>
      <c r="X389" s="3"/>
      <c r="Y389" s="3"/>
      <c r="Z389" s="3"/>
    </row>
    <row r="390">
      <c r="A390" s="100">
        <v>12.0</v>
      </c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3"/>
      <c r="V390" s="3"/>
      <c r="W390" s="3"/>
      <c r="X390" s="3"/>
      <c r="Y390" s="3"/>
      <c r="Z390" s="3"/>
    </row>
    <row r="391">
      <c r="A391" s="101" t="s">
        <v>476</v>
      </c>
      <c r="B391" s="24">
        <f t="shared" ref="B391:B404" si="67">300-U391</f>
        <v>300</v>
      </c>
      <c r="C391" s="25">
        <v>30.0</v>
      </c>
      <c r="D391" s="26">
        <f t="shared" ref="D391:D404" si="68">B391</f>
        <v>300</v>
      </c>
      <c r="E391" s="28"/>
      <c r="F391" s="73"/>
      <c r="G391" s="29"/>
      <c r="H391" s="29"/>
      <c r="I391" s="28"/>
      <c r="J391" s="29"/>
      <c r="K391" s="30"/>
      <c r="L391" s="30"/>
      <c r="M391" s="41"/>
      <c r="N391" s="26">
        <f t="shared" ref="N391:N404" si="69">SUM(E391:M391)</f>
        <v>0</v>
      </c>
      <c r="O391" s="29"/>
      <c r="P391" s="29"/>
      <c r="Q391" s="83"/>
      <c r="R391" s="31">
        <f t="shared" ref="R391:R404" si="70">SUM(O391:Q391)</f>
        <v>0</v>
      </c>
      <c r="S391" s="32">
        <f t="shared" ref="S391:S404" si="71">D391-N391+R391</f>
        <v>300</v>
      </c>
      <c r="T391" s="33">
        <f t="shared" ref="T391:T404" si="72">RANK(S391,$S$391:$S$404,0)</f>
        <v>1</v>
      </c>
      <c r="U391" s="76"/>
      <c r="V391" s="3"/>
      <c r="W391" s="3"/>
      <c r="X391" s="3"/>
      <c r="Y391" s="3"/>
      <c r="Z391" s="3"/>
    </row>
    <row r="392">
      <c r="A392" s="102" t="s">
        <v>477</v>
      </c>
      <c r="B392" s="24">
        <f t="shared" si="67"/>
        <v>298</v>
      </c>
      <c r="C392" s="36">
        <v>30.0</v>
      </c>
      <c r="D392" s="37">
        <f t="shared" si="68"/>
        <v>298</v>
      </c>
      <c r="E392" s="41">
        <v>1.5</v>
      </c>
      <c r="F392" s="41">
        <v>0.5</v>
      </c>
      <c r="G392" s="40"/>
      <c r="H392" s="40"/>
      <c r="I392" s="41"/>
      <c r="J392" s="40"/>
      <c r="K392" s="44"/>
      <c r="L392" s="41"/>
      <c r="M392" s="41">
        <v>0.5</v>
      </c>
      <c r="N392" s="37">
        <f t="shared" si="69"/>
        <v>2.5</v>
      </c>
      <c r="O392" s="40"/>
      <c r="P392" s="40"/>
      <c r="Q392" s="67"/>
      <c r="R392" s="42">
        <f t="shared" si="70"/>
        <v>0</v>
      </c>
      <c r="S392" s="43">
        <f t="shared" si="71"/>
        <v>295.5</v>
      </c>
      <c r="T392" s="33">
        <f t="shared" si="72"/>
        <v>14</v>
      </c>
      <c r="U392" s="76">
        <v>2.0</v>
      </c>
      <c r="V392" s="3"/>
      <c r="W392" s="3"/>
      <c r="X392" s="3"/>
      <c r="Y392" s="3"/>
      <c r="Z392" s="3"/>
    </row>
    <row r="393">
      <c r="A393" s="102" t="s">
        <v>478</v>
      </c>
      <c r="B393" s="24">
        <f t="shared" si="67"/>
        <v>299</v>
      </c>
      <c r="C393" s="36">
        <v>30.0</v>
      </c>
      <c r="D393" s="37">
        <f t="shared" si="68"/>
        <v>299</v>
      </c>
      <c r="E393" s="41"/>
      <c r="F393" s="41">
        <v>0.5</v>
      </c>
      <c r="G393" s="40"/>
      <c r="H393" s="40"/>
      <c r="I393" s="39"/>
      <c r="J393" s="40"/>
      <c r="K393" s="44"/>
      <c r="L393" s="41"/>
      <c r="M393" s="41"/>
      <c r="N393" s="37">
        <f t="shared" si="69"/>
        <v>0.5</v>
      </c>
      <c r="O393" s="40"/>
      <c r="P393" s="40"/>
      <c r="Q393" s="67"/>
      <c r="R393" s="42">
        <f t="shared" si="70"/>
        <v>0</v>
      </c>
      <c r="S393" s="45">
        <f t="shared" si="71"/>
        <v>298.5</v>
      </c>
      <c r="T393" s="33">
        <f t="shared" si="72"/>
        <v>9</v>
      </c>
      <c r="U393" s="76">
        <v>1.0</v>
      </c>
      <c r="V393" s="3"/>
      <c r="W393" s="3"/>
      <c r="X393" s="3"/>
      <c r="Y393" s="3"/>
      <c r="Z393" s="3"/>
    </row>
    <row r="394">
      <c r="A394" s="102" t="s">
        <v>479</v>
      </c>
      <c r="B394" s="24">
        <f t="shared" si="67"/>
        <v>300</v>
      </c>
      <c r="C394" s="36">
        <v>30.0</v>
      </c>
      <c r="D394" s="37">
        <f t="shared" si="68"/>
        <v>300</v>
      </c>
      <c r="E394" s="39"/>
      <c r="F394" s="41">
        <v>0.5</v>
      </c>
      <c r="G394" s="40"/>
      <c r="H394" s="40"/>
      <c r="I394" s="41"/>
      <c r="J394" s="40"/>
      <c r="K394" s="44"/>
      <c r="L394" s="44"/>
      <c r="M394" s="41"/>
      <c r="N394" s="37">
        <f t="shared" si="69"/>
        <v>0.5</v>
      </c>
      <c r="O394" s="40"/>
      <c r="P394" s="40"/>
      <c r="Q394" s="67"/>
      <c r="R394" s="42">
        <f t="shared" si="70"/>
        <v>0</v>
      </c>
      <c r="S394" s="45">
        <f t="shared" si="71"/>
        <v>299.5</v>
      </c>
      <c r="T394" s="33">
        <f t="shared" si="72"/>
        <v>2</v>
      </c>
      <c r="U394" s="76"/>
      <c r="V394" s="3"/>
      <c r="W394" s="3"/>
      <c r="X394" s="3"/>
      <c r="Y394" s="3"/>
      <c r="Z394" s="3"/>
    </row>
    <row r="395">
      <c r="A395" s="102" t="s">
        <v>480</v>
      </c>
      <c r="B395" s="24">
        <f t="shared" si="67"/>
        <v>300</v>
      </c>
      <c r="C395" s="36">
        <v>30.0</v>
      </c>
      <c r="D395" s="37">
        <f t="shared" si="68"/>
        <v>300</v>
      </c>
      <c r="E395" s="41"/>
      <c r="F395" s="41"/>
      <c r="G395" s="40"/>
      <c r="H395" s="40"/>
      <c r="I395" s="39"/>
      <c r="J395" s="40"/>
      <c r="K395" s="44"/>
      <c r="L395" s="44"/>
      <c r="M395" s="41">
        <v>0.5</v>
      </c>
      <c r="N395" s="37">
        <f t="shared" si="69"/>
        <v>0.5</v>
      </c>
      <c r="O395" s="40"/>
      <c r="P395" s="40"/>
      <c r="Q395" s="67"/>
      <c r="R395" s="42">
        <f t="shared" si="70"/>
        <v>0</v>
      </c>
      <c r="S395" s="45">
        <f t="shared" si="71"/>
        <v>299.5</v>
      </c>
      <c r="T395" s="33">
        <f t="shared" si="72"/>
        <v>2</v>
      </c>
      <c r="U395" s="76"/>
      <c r="V395" s="3"/>
      <c r="W395" s="3"/>
      <c r="X395" s="3"/>
      <c r="Y395" s="3"/>
      <c r="Z395" s="3"/>
    </row>
    <row r="396">
      <c r="A396" s="102" t="s">
        <v>481</v>
      </c>
      <c r="B396" s="24">
        <f t="shared" si="67"/>
        <v>299</v>
      </c>
      <c r="C396" s="36">
        <v>30.0</v>
      </c>
      <c r="D396" s="37">
        <f t="shared" si="68"/>
        <v>299</v>
      </c>
      <c r="E396" s="39"/>
      <c r="F396" s="41"/>
      <c r="G396" s="40"/>
      <c r="H396" s="40"/>
      <c r="I396" s="39"/>
      <c r="J396" s="40"/>
      <c r="K396" s="44"/>
      <c r="L396" s="41"/>
      <c r="M396" s="41"/>
      <c r="N396" s="37">
        <f t="shared" si="69"/>
        <v>0</v>
      </c>
      <c r="O396" s="40"/>
      <c r="P396" s="40"/>
      <c r="Q396" s="67"/>
      <c r="R396" s="42">
        <f t="shared" si="70"/>
        <v>0</v>
      </c>
      <c r="S396" s="45">
        <f t="shared" si="71"/>
        <v>299</v>
      </c>
      <c r="T396" s="33">
        <f t="shared" si="72"/>
        <v>5</v>
      </c>
      <c r="U396" s="76">
        <v>1.0</v>
      </c>
      <c r="V396" s="3"/>
      <c r="W396" s="3"/>
      <c r="X396" s="3"/>
      <c r="Y396" s="3"/>
      <c r="Z396" s="3"/>
    </row>
    <row r="397">
      <c r="A397" s="102" t="s">
        <v>482</v>
      </c>
      <c r="B397" s="24">
        <f t="shared" si="67"/>
        <v>300</v>
      </c>
      <c r="C397" s="36">
        <v>30.0</v>
      </c>
      <c r="D397" s="37">
        <f t="shared" si="68"/>
        <v>300</v>
      </c>
      <c r="E397" s="39"/>
      <c r="F397" s="41">
        <v>1.0</v>
      </c>
      <c r="G397" s="40"/>
      <c r="H397" s="40"/>
      <c r="I397" s="39"/>
      <c r="J397" s="38"/>
      <c r="K397" s="44"/>
      <c r="L397" s="41"/>
      <c r="M397" s="41"/>
      <c r="N397" s="37">
        <f t="shared" si="69"/>
        <v>1</v>
      </c>
      <c r="O397" s="40"/>
      <c r="P397" s="40"/>
      <c r="Q397" s="67"/>
      <c r="R397" s="42">
        <f t="shared" si="70"/>
        <v>0</v>
      </c>
      <c r="S397" s="45">
        <f t="shared" si="71"/>
        <v>299</v>
      </c>
      <c r="T397" s="33">
        <f t="shared" si="72"/>
        <v>5</v>
      </c>
      <c r="U397" s="76"/>
      <c r="V397" s="3"/>
      <c r="W397" s="3"/>
      <c r="X397" s="3"/>
      <c r="Y397" s="3"/>
      <c r="Z397" s="3"/>
    </row>
    <row r="398">
      <c r="A398" s="102" t="s">
        <v>483</v>
      </c>
      <c r="B398" s="24">
        <f t="shared" si="67"/>
        <v>300</v>
      </c>
      <c r="C398" s="36">
        <v>30.0</v>
      </c>
      <c r="D398" s="37">
        <f t="shared" si="68"/>
        <v>300</v>
      </c>
      <c r="E398" s="39"/>
      <c r="F398" s="41">
        <v>1.0</v>
      </c>
      <c r="G398" s="40"/>
      <c r="H398" s="40"/>
      <c r="I398" s="41"/>
      <c r="J398" s="40"/>
      <c r="K398" s="44"/>
      <c r="L398" s="41"/>
      <c r="M398" s="41"/>
      <c r="N398" s="37">
        <f t="shared" si="69"/>
        <v>1</v>
      </c>
      <c r="O398" s="40"/>
      <c r="P398" s="40"/>
      <c r="Q398" s="67"/>
      <c r="R398" s="42">
        <f t="shared" si="70"/>
        <v>0</v>
      </c>
      <c r="S398" s="47">
        <f t="shared" si="71"/>
        <v>299</v>
      </c>
      <c r="T398" s="33">
        <f t="shared" si="72"/>
        <v>5</v>
      </c>
      <c r="U398" s="76"/>
      <c r="V398" s="3"/>
      <c r="W398" s="3"/>
      <c r="X398" s="3"/>
      <c r="Y398" s="3"/>
      <c r="Z398" s="3"/>
    </row>
    <row r="399">
      <c r="A399" s="102" t="s">
        <v>484</v>
      </c>
      <c r="B399" s="24">
        <f t="shared" si="67"/>
        <v>300</v>
      </c>
      <c r="C399" s="36">
        <v>30.0</v>
      </c>
      <c r="D399" s="37">
        <f t="shared" si="68"/>
        <v>300</v>
      </c>
      <c r="E399" s="39"/>
      <c r="F399" s="41"/>
      <c r="G399" s="40"/>
      <c r="H399" s="40"/>
      <c r="I399" s="41">
        <v>0.5</v>
      </c>
      <c r="J399" s="38"/>
      <c r="K399" s="44"/>
      <c r="L399" s="41"/>
      <c r="M399" s="41">
        <v>0.5</v>
      </c>
      <c r="N399" s="37">
        <f t="shared" si="69"/>
        <v>1</v>
      </c>
      <c r="O399" s="40"/>
      <c r="P399" s="40"/>
      <c r="Q399" s="67"/>
      <c r="R399" s="42">
        <f t="shared" si="70"/>
        <v>0</v>
      </c>
      <c r="S399" s="47">
        <f t="shared" si="71"/>
        <v>299</v>
      </c>
      <c r="T399" s="33">
        <f t="shared" si="72"/>
        <v>5</v>
      </c>
      <c r="U399" s="76"/>
      <c r="V399" s="3"/>
      <c r="W399" s="3"/>
      <c r="X399" s="3"/>
      <c r="Y399" s="3"/>
      <c r="Z399" s="3"/>
    </row>
    <row r="400">
      <c r="A400" s="102" t="s">
        <v>485</v>
      </c>
      <c r="B400" s="24">
        <f t="shared" si="67"/>
        <v>300</v>
      </c>
      <c r="C400" s="36">
        <v>30.0</v>
      </c>
      <c r="D400" s="37">
        <f t="shared" si="68"/>
        <v>300</v>
      </c>
      <c r="E400" s="38"/>
      <c r="F400" s="41">
        <v>0.5</v>
      </c>
      <c r="G400" s="40"/>
      <c r="H400" s="40"/>
      <c r="I400" s="41">
        <v>1.0</v>
      </c>
      <c r="J400" s="40"/>
      <c r="K400" s="41"/>
      <c r="L400" s="44"/>
      <c r="M400" s="41"/>
      <c r="N400" s="37">
        <f t="shared" si="69"/>
        <v>1.5</v>
      </c>
      <c r="O400" s="40"/>
      <c r="P400" s="40"/>
      <c r="Q400" s="67"/>
      <c r="R400" s="42">
        <f t="shared" si="70"/>
        <v>0</v>
      </c>
      <c r="S400" s="43">
        <f t="shared" si="71"/>
        <v>298.5</v>
      </c>
      <c r="T400" s="33">
        <f t="shared" si="72"/>
        <v>9</v>
      </c>
      <c r="U400" s="3"/>
      <c r="V400" s="3"/>
      <c r="W400" s="3"/>
      <c r="X400" s="3"/>
      <c r="Y400" s="3"/>
      <c r="Z400" s="3"/>
    </row>
    <row r="401">
      <c r="A401" s="102" t="s">
        <v>486</v>
      </c>
      <c r="B401" s="24">
        <f t="shared" si="67"/>
        <v>300</v>
      </c>
      <c r="C401" s="36">
        <v>30.0</v>
      </c>
      <c r="D401" s="37">
        <f t="shared" si="68"/>
        <v>300</v>
      </c>
      <c r="E401" s="39"/>
      <c r="F401" s="41"/>
      <c r="G401" s="40"/>
      <c r="H401" s="40"/>
      <c r="I401" s="41">
        <v>0.5</v>
      </c>
      <c r="J401" s="40"/>
      <c r="K401" s="44"/>
      <c r="L401" s="44"/>
      <c r="M401" s="41"/>
      <c r="N401" s="37">
        <f t="shared" si="69"/>
        <v>0.5</v>
      </c>
      <c r="O401" s="40"/>
      <c r="P401" s="40"/>
      <c r="Q401" s="67"/>
      <c r="R401" s="42">
        <f t="shared" si="70"/>
        <v>0</v>
      </c>
      <c r="S401" s="45">
        <f t="shared" si="71"/>
        <v>299.5</v>
      </c>
      <c r="T401" s="33">
        <f t="shared" si="72"/>
        <v>2</v>
      </c>
      <c r="U401" s="76"/>
      <c r="V401" s="3"/>
      <c r="W401" s="3"/>
      <c r="X401" s="3"/>
      <c r="Y401" s="3"/>
      <c r="Z401" s="3"/>
    </row>
    <row r="402">
      <c r="A402" s="102" t="s">
        <v>487</v>
      </c>
      <c r="B402" s="24">
        <f t="shared" si="67"/>
        <v>299</v>
      </c>
      <c r="C402" s="36">
        <v>30.0</v>
      </c>
      <c r="D402" s="37">
        <f t="shared" si="68"/>
        <v>299</v>
      </c>
      <c r="E402" s="41">
        <v>1.5</v>
      </c>
      <c r="F402" s="41"/>
      <c r="G402" s="40"/>
      <c r="H402" s="40"/>
      <c r="I402" s="41"/>
      <c r="J402" s="40"/>
      <c r="K402" s="44"/>
      <c r="L402" s="44"/>
      <c r="M402" s="41"/>
      <c r="N402" s="37">
        <f t="shared" si="69"/>
        <v>1.5</v>
      </c>
      <c r="O402" s="40"/>
      <c r="P402" s="40"/>
      <c r="Q402" s="67"/>
      <c r="R402" s="42">
        <f t="shared" si="70"/>
        <v>0</v>
      </c>
      <c r="S402" s="45">
        <f t="shared" si="71"/>
        <v>297.5</v>
      </c>
      <c r="T402" s="33">
        <f t="shared" si="72"/>
        <v>13</v>
      </c>
      <c r="U402" s="76">
        <v>1.0</v>
      </c>
      <c r="V402" s="3"/>
      <c r="W402" s="3"/>
      <c r="X402" s="3"/>
      <c r="Y402" s="3"/>
      <c r="Z402" s="3"/>
    </row>
    <row r="403">
      <c r="A403" s="102" t="s">
        <v>488</v>
      </c>
      <c r="B403" s="24">
        <f t="shared" si="67"/>
        <v>300</v>
      </c>
      <c r="C403" s="36">
        <v>30.0</v>
      </c>
      <c r="D403" s="37">
        <f t="shared" si="68"/>
        <v>300</v>
      </c>
      <c r="E403" s="41">
        <v>1.5</v>
      </c>
      <c r="F403" s="41"/>
      <c r="G403" s="40"/>
      <c r="H403" s="40"/>
      <c r="I403" s="41">
        <v>0.5</v>
      </c>
      <c r="J403" s="40"/>
      <c r="K403" s="44"/>
      <c r="L403" s="44"/>
      <c r="M403" s="41"/>
      <c r="N403" s="37">
        <f t="shared" si="69"/>
        <v>2</v>
      </c>
      <c r="O403" s="40"/>
      <c r="P403" s="40"/>
      <c r="Q403" s="67"/>
      <c r="R403" s="42">
        <f t="shared" si="70"/>
        <v>0</v>
      </c>
      <c r="S403" s="47">
        <f t="shared" si="71"/>
        <v>298</v>
      </c>
      <c r="T403" s="33">
        <f t="shared" si="72"/>
        <v>11</v>
      </c>
      <c r="U403" s="76"/>
      <c r="V403" s="3"/>
      <c r="W403" s="3"/>
      <c r="X403" s="3"/>
      <c r="Y403" s="3"/>
      <c r="Z403" s="3"/>
    </row>
    <row r="404">
      <c r="A404" s="103" t="s">
        <v>489</v>
      </c>
      <c r="B404" s="49">
        <f t="shared" si="67"/>
        <v>299</v>
      </c>
      <c r="C404" s="50">
        <v>30.0</v>
      </c>
      <c r="D404" s="51">
        <f t="shared" si="68"/>
        <v>299</v>
      </c>
      <c r="E404" s="74"/>
      <c r="F404" s="74"/>
      <c r="G404" s="53"/>
      <c r="H404" s="53"/>
      <c r="I404" s="74"/>
      <c r="J404" s="52"/>
      <c r="K404" s="74"/>
      <c r="L404" s="54"/>
      <c r="M404" s="74">
        <v>1.0</v>
      </c>
      <c r="N404" s="51">
        <f t="shared" si="69"/>
        <v>1</v>
      </c>
      <c r="O404" s="53"/>
      <c r="P404" s="53"/>
      <c r="Q404" s="69"/>
      <c r="R404" s="56">
        <f t="shared" si="70"/>
        <v>0</v>
      </c>
      <c r="S404" s="57">
        <f t="shared" si="71"/>
        <v>298</v>
      </c>
      <c r="T404" s="33">
        <f t="shared" si="72"/>
        <v>11</v>
      </c>
      <c r="U404" s="76">
        <v>1.0</v>
      </c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124"/>
      <c r="F405" s="104"/>
      <c r="G405" s="3"/>
      <c r="H405" s="3"/>
      <c r="I405" s="124"/>
      <c r="J405" s="3"/>
      <c r="K405" s="104"/>
      <c r="L405" s="104"/>
      <c r="M405" s="104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63"/>
      <c r="B406" s="63" t="s">
        <v>490</v>
      </c>
      <c r="C406" s="3"/>
      <c r="D406" s="3"/>
      <c r="E406" s="124"/>
      <c r="F406" s="104"/>
      <c r="G406" s="63"/>
      <c r="H406" s="3"/>
      <c r="I406" s="105" t="s">
        <v>631</v>
      </c>
      <c r="J406" s="62"/>
      <c r="K406" s="104"/>
      <c r="L406" s="105"/>
      <c r="M406" s="104"/>
      <c r="N406" s="62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63"/>
      <c r="B407" s="64" t="s">
        <v>632</v>
      </c>
      <c r="C407" s="3"/>
      <c r="D407" s="3"/>
      <c r="E407" s="124"/>
      <c r="F407" s="104"/>
      <c r="G407" s="63"/>
      <c r="H407" s="3"/>
      <c r="I407" s="105"/>
      <c r="J407" s="62"/>
      <c r="K407" s="104"/>
      <c r="L407" s="105"/>
      <c r="M407" s="104"/>
      <c r="N407" s="70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63"/>
      <c r="B408" s="64" t="s">
        <v>633</v>
      </c>
      <c r="C408" s="3"/>
      <c r="D408" s="3"/>
      <c r="E408" s="124"/>
      <c r="F408" s="104"/>
      <c r="G408" s="63"/>
      <c r="H408" s="3"/>
      <c r="I408" s="124"/>
      <c r="J408" s="62"/>
      <c r="K408" s="104"/>
      <c r="L408" s="105"/>
      <c r="M408" s="104"/>
      <c r="N408" s="79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63"/>
      <c r="B409" s="64" t="s">
        <v>634</v>
      </c>
      <c r="C409" s="3"/>
      <c r="D409" s="3"/>
      <c r="E409" s="124"/>
      <c r="F409" s="104"/>
      <c r="G409" s="63"/>
      <c r="H409" s="3"/>
      <c r="I409" s="124"/>
      <c r="J409" s="62"/>
      <c r="K409" s="104"/>
      <c r="L409" s="105"/>
      <c r="M409" s="104"/>
      <c r="N409" s="79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63"/>
      <c r="B410" s="64" t="s">
        <v>635</v>
      </c>
      <c r="C410" s="3"/>
      <c r="D410" s="3"/>
      <c r="E410" s="124"/>
      <c r="F410" s="104"/>
      <c r="G410" s="63"/>
      <c r="H410" s="3"/>
      <c r="I410" s="124"/>
      <c r="J410" s="62"/>
      <c r="K410" s="104"/>
      <c r="L410" s="105"/>
      <c r="M410" s="104"/>
      <c r="N410" s="79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63"/>
      <c r="B411" s="64" t="s">
        <v>636</v>
      </c>
      <c r="C411" s="3"/>
      <c r="D411" s="3"/>
      <c r="E411" s="124"/>
      <c r="F411" s="104"/>
      <c r="G411" s="63"/>
      <c r="H411" s="3"/>
      <c r="I411" s="124"/>
      <c r="J411" s="62"/>
      <c r="K411" s="104"/>
      <c r="L411" s="105"/>
      <c r="M411" s="104"/>
      <c r="N411" s="79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63"/>
      <c r="B412" s="64" t="s">
        <v>637</v>
      </c>
      <c r="C412" s="3"/>
      <c r="D412" s="3"/>
      <c r="E412" s="124"/>
      <c r="F412" s="104"/>
      <c r="G412" s="63"/>
      <c r="H412" s="3"/>
      <c r="I412" s="124"/>
      <c r="J412" s="62"/>
      <c r="K412" s="104"/>
      <c r="L412" s="105"/>
      <c r="M412" s="104"/>
      <c r="N412" s="79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63"/>
      <c r="B413" s="64" t="s">
        <v>638</v>
      </c>
      <c r="C413" s="3"/>
      <c r="D413" s="3"/>
      <c r="E413" s="124"/>
      <c r="F413" s="104"/>
      <c r="G413" s="63"/>
      <c r="H413" s="3"/>
      <c r="I413" s="124"/>
      <c r="J413" s="62"/>
      <c r="K413" s="104"/>
      <c r="L413" s="105"/>
      <c r="M413" s="104"/>
      <c r="N413" s="79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63"/>
      <c r="B414" s="64" t="s">
        <v>639</v>
      </c>
      <c r="C414" s="3"/>
      <c r="D414" s="3"/>
      <c r="E414" s="124"/>
      <c r="F414" s="104"/>
      <c r="G414" s="63"/>
      <c r="H414" s="3"/>
      <c r="I414" s="124"/>
      <c r="J414" s="62"/>
      <c r="K414" s="104"/>
      <c r="L414" s="105"/>
      <c r="M414" s="104"/>
      <c r="N414" s="79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63"/>
      <c r="B415" s="64" t="s">
        <v>640</v>
      </c>
      <c r="C415" s="3"/>
      <c r="D415" s="3"/>
      <c r="E415" s="124"/>
      <c r="F415" s="104"/>
      <c r="G415" s="63"/>
      <c r="H415" s="3"/>
      <c r="I415" s="124"/>
      <c r="J415" s="62"/>
      <c r="K415" s="104"/>
      <c r="L415" s="105"/>
      <c r="M415" s="104"/>
      <c r="N415" s="79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63"/>
      <c r="B416" s="64" t="s">
        <v>641</v>
      </c>
      <c r="C416" s="3"/>
      <c r="D416" s="3"/>
      <c r="E416" s="124"/>
      <c r="F416" s="104"/>
      <c r="G416" s="63"/>
      <c r="H416" s="3"/>
      <c r="I416" s="124"/>
      <c r="J416" s="62"/>
      <c r="K416" s="104"/>
      <c r="L416" s="105"/>
      <c r="M416" s="104"/>
      <c r="N416" s="79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65" t="s">
        <v>642</v>
      </c>
      <c r="C417" s="3"/>
      <c r="D417" s="3"/>
      <c r="E417" s="124"/>
      <c r="F417" s="104"/>
      <c r="G417" s="3"/>
      <c r="H417" s="3"/>
      <c r="I417" s="124"/>
      <c r="J417" s="3"/>
      <c r="K417" s="104"/>
      <c r="L417" s="104"/>
      <c r="M417" s="104"/>
      <c r="N417" s="9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124"/>
      <c r="F418" s="104"/>
      <c r="G418" s="3"/>
      <c r="H418" s="3"/>
      <c r="I418" s="124"/>
      <c r="J418" s="3"/>
      <c r="K418" s="104"/>
      <c r="L418" s="104"/>
      <c r="M418" s="104"/>
      <c r="N418" s="79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124"/>
      <c r="F419" s="104"/>
      <c r="G419" s="3"/>
      <c r="H419" s="3"/>
      <c r="I419" s="124"/>
      <c r="J419" s="3"/>
      <c r="K419" s="104"/>
      <c r="L419" s="104"/>
      <c r="M419" s="104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124"/>
      <c r="F420" s="104"/>
      <c r="G420" s="3"/>
      <c r="H420" s="3"/>
      <c r="I420" s="124"/>
      <c r="J420" s="3"/>
      <c r="K420" s="104"/>
      <c r="L420" s="104"/>
      <c r="M420" s="104"/>
      <c r="N420" s="62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" t="s">
        <v>643</v>
      </c>
      <c r="U421" s="3"/>
      <c r="V421" s="3"/>
      <c r="W421" s="3"/>
      <c r="X421" s="3"/>
      <c r="Y421" s="3"/>
      <c r="Z421" s="3"/>
    </row>
    <row r="422">
      <c r="A422" s="1" t="s">
        <v>205</v>
      </c>
      <c r="U422" s="3"/>
      <c r="V422" s="3"/>
      <c r="W422" s="3"/>
      <c r="X422" s="3"/>
      <c r="Y422" s="3"/>
      <c r="Z422" s="3"/>
    </row>
    <row r="423">
      <c r="A423" s="2"/>
      <c r="B423" s="4"/>
      <c r="C423" s="2"/>
      <c r="D423" s="2"/>
      <c r="E423" s="78"/>
      <c r="F423" s="98"/>
      <c r="G423" s="2"/>
      <c r="H423" s="2"/>
      <c r="I423" s="78"/>
      <c r="J423" s="2"/>
      <c r="K423" s="98"/>
      <c r="L423" s="98"/>
      <c r="M423" s="98"/>
      <c r="N423" s="2"/>
      <c r="O423" s="2"/>
      <c r="P423" s="2"/>
      <c r="Q423" s="2"/>
      <c r="R423" s="2"/>
      <c r="S423" s="2"/>
      <c r="T423" s="2"/>
      <c r="U423" s="3"/>
      <c r="V423" s="3"/>
      <c r="W423" s="3"/>
      <c r="X423" s="3"/>
      <c r="Y423" s="3"/>
      <c r="Z423" s="3"/>
    </row>
    <row r="424">
      <c r="A424" s="8" t="s">
        <v>2</v>
      </c>
      <c r="B424" s="9" t="s">
        <v>3</v>
      </c>
      <c r="C424" s="10"/>
      <c r="D424" s="11"/>
      <c r="E424" s="12" t="s">
        <v>4</v>
      </c>
      <c r="F424" s="10"/>
      <c r="G424" s="10"/>
      <c r="H424" s="10"/>
      <c r="I424" s="10"/>
      <c r="J424" s="10"/>
      <c r="K424" s="10"/>
      <c r="L424" s="10"/>
      <c r="M424" s="10"/>
      <c r="N424" s="11"/>
      <c r="O424" s="13" t="s">
        <v>5</v>
      </c>
      <c r="P424" s="10"/>
      <c r="Q424" s="10"/>
      <c r="R424" s="11"/>
      <c r="S424" s="14" t="s">
        <v>6</v>
      </c>
      <c r="T424" s="14" t="s">
        <v>7</v>
      </c>
      <c r="U424" s="3"/>
      <c r="V424" s="3"/>
      <c r="W424" s="3"/>
      <c r="X424" s="3"/>
      <c r="Y424" s="3"/>
      <c r="Z424" s="3"/>
    </row>
    <row r="425">
      <c r="A425" s="15"/>
      <c r="B425" s="16" t="s">
        <v>8</v>
      </c>
      <c r="C425" s="17" t="s">
        <v>9</v>
      </c>
      <c r="D425" s="14" t="s">
        <v>10</v>
      </c>
      <c r="E425" s="17" t="s">
        <v>11</v>
      </c>
      <c r="F425" s="18" t="s">
        <v>12</v>
      </c>
      <c r="G425" s="17" t="s">
        <v>13</v>
      </c>
      <c r="H425" s="17" t="s">
        <v>14</v>
      </c>
      <c r="I425" s="17" t="s">
        <v>15</v>
      </c>
      <c r="J425" s="17" t="s">
        <v>16</v>
      </c>
      <c r="K425" s="18" t="s">
        <v>17</v>
      </c>
      <c r="L425" s="18" t="s">
        <v>18</v>
      </c>
      <c r="M425" s="18" t="s">
        <v>19</v>
      </c>
      <c r="N425" s="14" t="s">
        <v>20</v>
      </c>
      <c r="O425" s="17" t="s">
        <v>21</v>
      </c>
      <c r="P425" s="17" t="s">
        <v>22</v>
      </c>
      <c r="Q425" s="17" t="s">
        <v>23</v>
      </c>
      <c r="R425" s="14" t="s">
        <v>24</v>
      </c>
      <c r="S425" s="19"/>
      <c r="T425" s="19"/>
      <c r="U425" s="3"/>
      <c r="V425" s="3"/>
      <c r="W425" s="3"/>
      <c r="X425" s="3"/>
      <c r="Y425" s="3"/>
      <c r="Z425" s="3"/>
    </row>
    <row r="426">
      <c r="A426" s="20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3"/>
      <c r="V426" s="3"/>
      <c r="W426" s="3"/>
      <c r="X426" s="3"/>
      <c r="Y426" s="3"/>
      <c r="Z426" s="3"/>
    </row>
    <row r="427">
      <c r="A427" s="100">
        <v>12.0</v>
      </c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3"/>
      <c r="V427" s="3"/>
      <c r="W427" s="3"/>
      <c r="X427" s="3"/>
      <c r="Y427" s="3"/>
      <c r="Z427" s="3"/>
    </row>
    <row r="428">
      <c r="A428" s="101" t="s">
        <v>476</v>
      </c>
      <c r="B428" s="24">
        <f t="shared" ref="B428:B441" si="73">300-U428</f>
        <v>300</v>
      </c>
      <c r="C428" s="25">
        <v>30.0</v>
      </c>
      <c r="D428" s="26">
        <f t="shared" ref="D428:D441" si="74">B428</f>
        <v>300</v>
      </c>
      <c r="E428" s="28"/>
      <c r="F428" s="73"/>
      <c r="G428" s="29"/>
      <c r="H428" s="29"/>
      <c r="I428" s="28"/>
      <c r="J428" s="29"/>
      <c r="K428" s="30"/>
      <c r="L428" s="30"/>
      <c r="M428" s="41"/>
      <c r="N428" s="26">
        <f t="shared" ref="N428:N441" si="75">SUM(E428:M428)</f>
        <v>0</v>
      </c>
      <c r="O428" s="29"/>
      <c r="P428" s="29"/>
      <c r="Q428" s="83"/>
      <c r="R428" s="31">
        <f t="shared" ref="R428:R441" si="76">SUM(O428:Q428)</f>
        <v>0</v>
      </c>
      <c r="S428" s="32">
        <f t="shared" ref="S428:S441" si="77">D428-N428+R428</f>
        <v>300</v>
      </c>
      <c r="T428" s="33">
        <f t="shared" ref="T428:T441" si="78">RANK(S428,$S$428:$S$441,0)</f>
        <v>2</v>
      </c>
      <c r="U428" s="76"/>
      <c r="V428" s="3"/>
      <c r="W428" s="3"/>
      <c r="X428" s="3"/>
      <c r="Y428" s="3"/>
      <c r="Z428" s="3"/>
    </row>
    <row r="429">
      <c r="A429" s="102" t="s">
        <v>477</v>
      </c>
      <c r="B429" s="24">
        <f t="shared" si="73"/>
        <v>300</v>
      </c>
      <c r="C429" s="36">
        <v>30.0</v>
      </c>
      <c r="D429" s="37">
        <f t="shared" si="74"/>
        <v>300</v>
      </c>
      <c r="E429" s="41"/>
      <c r="F429" s="41">
        <v>0.5</v>
      </c>
      <c r="G429" s="40"/>
      <c r="H429" s="40"/>
      <c r="I429" s="41">
        <v>0.5</v>
      </c>
      <c r="J429" s="40"/>
      <c r="K429" s="44"/>
      <c r="L429" s="41"/>
      <c r="M429" s="41"/>
      <c r="N429" s="37">
        <f t="shared" si="75"/>
        <v>1</v>
      </c>
      <c r="O429" s="40"/>
      <c r="P429" s="40"/>
      <c r="Q429" s="67"/>
      <c r="R429" s="42">
        <f t="shared" si="76"/>
        <v>0</v>
      </c>
      <c r="S429" s="43">
        <f t="shared" si="77"/>
        <v>299</v>
      </c>
      <c r="T429" s="33">
        <f t="shared" si="78"/>
        <v>6</v>
      </c>
      <c r="U429" s="76"/>
      <c r="V429" s="3"/>
      <c r="W429" s="3"/>
      <c r="X429" s="3"/>
      <c r="Y429" s="3"/>
      <c r="Z429" s="3"/>
    </row>
    <row r="430">
      <c r="A430" s="102" t="s">
        <v>478</v>
      </c>
      <c r="B430" s="24">
        <f t="shared" si="73"/>
        <v>300</v>
      </c>
      <c r="C430" s="36">
        <v>30.0</v>
      </c>
      <c r="D430" s="37">
        <f t="shared" si="74"/>
        <v>300</v>
      </c>
      <c r="E430" s="41">
        <v>3.0</v>
      </c>
      <c r="F430" s="41"/>
      <c r="G430" s="40"/>
      <c r="H430" s="40"/>
      <c r="I430" s="39"/>
      <c r="J430" s="40"/>
      <c r="K430" s="44"/>
      <c r="L430" s="41"/>
      <c r="M430" s="41">
        <v>1.5</v>
      </c>
      <c r="N430" s="37">
        <f t="shared" si="75"/>
        <v>4.5</v>
      </c>
      <c r="O430" s="40"/>
      <c r="P430" s="40"/>
      <c r="Q430" s="67"/>
      <c r="R430" s="42">
        <f t="shared" si="76"/>
        <v>0</v>
      </c>
      <c r="S430" s="45">
        <f t="shared" si="77"/>
        <v>295.5</v>
      </c>
      <c r="T430" s="33">
        <f t="shared" si="78"/>
        <v>14</v>
      </c>
      <c r="U430" s="76"/>
      <c r="V430" s="3"/>
      <c r="W430" s="3"/>
      <c r="X430" s="3"/>
      <c r="Y430" s="3"/>
      <c r="Z430" s="3"/>
    </row>
    <row r="431">
      <c r="A431" s="102" t="s">
        <v>479</v>
      </c>
      <c r="B431" s="24">
        <f t="shared" si="73"/>
        <v>300</v>
      </c>
      <c r="C431" s="36">
        <v>30.0</v>
      </c>
      <c r="D431" s="37">
        <f t="shared" si="74"/>
        <v>300</v>
      </c>
      <c r="E431" s="41">
        <v>3.0</v>
      </c>
      <c r="F431" s="41"/>
      <c r="G431" s="40"/>
      <c r="H431" s="40"/>
      <c r="I431" s="41"/>
      <c r="J431" s="40"/>
      <c r="K431" s="44"/>
      <c r="L431" s="44"/>
      <c r="M431" s="41">
        <v>0.5</v>
      </c>
      <c r="N431" s="37">
        <f t="shared" si="75"/>
        <v>3.5</v>
      </c>
      <c r="O431" s="40"/>
      <c r="P431" s="40"/>
      <c r="Q431" s="67"/>
      <c r="R431" s="42">
        <f t="shared" si="76"/>
        <v>0</v>
      </c>
      <c r="S431" s="45">
        <f t="shared" si="77"/>
        <v>296.5</v>
      </c>
      <c r="T431" s="33">
        <f t="shared" si="78"/>
        <v>13</v>
      </c>
      <c r="U431" s="76"/>
      <c r="V431" s="3"/>
      <c r="W431" s="3"/>
      <c r="X431" s="3"/>
      <c r="Y431" s="3"/>
      <c r="Z431" s="3"/>
    </row>
    <row r="432">
      <c r="A432" s="102" t="s">
        <v>480</v>
      </c>
      <c r="B432" s="24">
        <f t="shared" si="73"/>
        <v>299</v>
      </c>
      <c r="C432" s="36">
        <v>30.0</v>
      </c>
      <c r="D432" s="37">
        <f t="shared" si="74"/>
        <v>299</v>
      </c>
      <c r="E432" s="41">
        <v>1.5</v>
      </c>
      <c r="F432" s="41"/>
      <c r="G432" s="40"/>
      <c r="H432" s="40"/>
      <c r="I432" s="39"/>
      <c r="J432" s="40"/>
      <c r="K432" s="44"/>
      <c r="L432" s="44"/>
      <c r="M432" s="41"/>
      <c r="N432" s="37">
        <f t="shared" si="75"/>
        <v>1.5</v>
      </c>
      <c r="O432" s="40"/>
      <c r="P432" s="40"/>
      <c r="Q432" s="67">
        <v>0.5</v>
      </c>
      <c r="R432" s="42">
        <f t="shared" si="76"/>
        <v>0.5</v>
      </c>
      <c r="S432" s="45">
        <f t="shared" si="77"/>
        <v>298</v>
      </c>
      <c r="T432" s="33">
        <f t="shared" si="78"/>
        <v>10</v>
      </c>
      <c r="U432" s="76">
        <v>1.0</v>
      </c>
      <c r="V432" s="3"/>
      <c r="W432" s="3"/>
      <c r="X432" s="3"/>
      <c r="Y432" s="3"/>
      <c r="Z432" s="3"/>
    </row>
    <row r="433">
      <c r="A433" s="102" t="s">
        <v>481</v>
      </c>
      <c r="B433" s="24">
        <f t="shared" si="73"/>
        <v>300</v>
      </c>
      <c r="C433" s="36">
        <v>30.0</v>
      </c>
      <c r="D433" s="37">
        <f t="shared" si="74"/>
        <v>300</v>
      </c>
      <c r="E433" s="39"/>
      <c r="F433" s="41"/>
      <c r="G433" s="40"/>
      <c r="H433" s="40"/>
      <c r="I433" s="39"/>
      <c r="J433" s="40"/>
      <c r="K433" s="44"/>
      <c r="L433" s="41"/>
      <c r="M433" s="41"/>
      <c r="N433" s="37">
        <f t="shared" si="75"/>
        <v>0</v>
      </c>
      <c r="O433" s="40"/>
      <c r="P433" s="40"/>
      <c r="Q433" s="67"/>
      <c r="R433" s="42">
        <f t="shared" si="76"/>
        <v>0</v>
      </c>
      <c r="S433" s="45">
        <f t="shared" si="77"/>
        <v>300</v>
      </c>
      <c r="T433" s="33">
        <f t="shared" si="78"/>
        <v>2</v>
      </c>
      <c r="U433" s="76"/>
      <c r="V433" s="3"/>
      <c r="W433" s="3"/>
      <c r="X433" s="3"/>
      <c r="Y433" s="3"/>
      <c r="Z433" s="3"/>
    </row>
    <row r="434">
      <c r="A434" s="102" t="s">
        <v>482</v>
      </c>
      <c r="B434" s="24">
        <f t="shared" si="73"/>
        <v>299</v>
      </c>
      <c r="C434" s="36">
        <v>30.0</v>
      </c>
      <c r="D434" s="37">
        <f t="shared" si="74"/>
        <v>299</v>
      </c>
      <c r="E434" s="39"/>
      <c r="F434" s="41"/>
      <c r="G434" s="40"/>
      <c r="H434" s="40"/>
      <c r="I434" s="39"/>
      <c r="J434" s="38"/>
      <c r="K434" s="44"/>
      <c r="L434" s="41"/>
      <c r="M434" s="41"/>
      <c r="N434" s="37">
        <f t="shared" si="75"/>
        <v>0</v>
      </c>
      <c r="O434" s="40"/>
      <c r="P434" s="40"/>
      <c r="Q434" s="67"/>
      <c r="R434" s="42">
        <f t="shared" si="76"/>
        <v>0</v>
      </c>
      <c r="S434" s="45">
        <f t="shared" si="77"/>
        <v>299</v>
      </c>
      <c r="T434" s="33">
        <f t="shared" si="78"/>
        <v>6</v>
      </c>
      <c r="U434" s="76">
        <v>1.0</v>
      </c>
      <c r="V434" s="3"/>
      <c r="W434" s="3"/>
      <c r="X434" s="3"/>
      <c r="Y434" s="3"/>
      <c r="Z434" s="3"/>
    </row>
    <row r="435">
      <c r="A435" s="102" t="s">
        <v>483</v>
      </c>
      <c r="B435" s="24">
        <f t="shared" si="73"/>
        <v>299</v>
      </c>
      <c r="C435" s="36">
        <v>30.0</v>
      </c>
      <c r="D435" s="37">
        <f t="shared" si="74"/>
        <v>299</v>
      </c>
      <c r="E435" s="39"/>
      <c r="F435" s="41"/>
      <c r="G435" s="40"/>
      <c r="H435" s="40"/>
      <c r="I435" s="41"/>
      <c r="J435" s="40"/>
      <c r="K435" s="44"/>
      <c r="L435" s="41"/>
      <c r="M435" s="41"/>
      <c r="N435" s="37">
        <f t="shared" si="75"/>
        <v>0</v>
      </c>
      <c r="O435" s="40"/>
      <c r="P435" s="40"/>
      <c r="Q435" s="67"/>
      <c r="R435" s="42">
        <f t="shared" si="76"/>
        <v>0</v>
      </c>
      <c r="S435" s="47">
        <f t="shared" si="77"/>
        <v>299</v>
      </c>
      <c r="T435" s="33">
        <f t="shared" si="78"/>
        <v>6</v>
      </c>
      <c r="U435" s="76">
        <v>1.0</v>
      </c>
      <c r="V435" s="3"/>
      <c r="W435" s="3"/>
      <c r="X435" s="3"/>
      <c r="Y435" s="3"/>
      <c r="Z435" s="3"/>
    </row>
    <row r="436">
      <c r="A436" s="102" t="s">
        <v>484</v>
      </c>
      <c r="B436" s="24">
        <f t="shared" si="73"/>
        <v>300</v>
      </c>
      <c r="C436" s="36">
        <v>30.0</v>
      </c>
      <c r="D436" s="37">
        <f t="shared" si="74"/>
        <v>300</v>
      </c>
      <c r="E436" s="41"/>
      <c r="F436" s="41"/>
      <c r="G436" s="40"/>
      <c r="H436" s="40"/>
      <c r="I436" s="41"/>
      <c r="J436" s="38"/>
      <c r="K436" s="44"/>
      <c r="L436" s="41"/>
      <c r="M436" s="41"/>
      <c r="N436" s="37">
        <f t="shared" si="75"/>
        <v>0</v>
      </c>
      <c r="O436" s="40"/>
      <c r="P436" s="40"/>
      <c r="Q436" s="67"/>
      <c r="R436" s="42">
        <f t="shared" si="76"/>
        <v>0</v>
      </c>
      <c r="S436" s="47">
        <f t="shared" si="77"/>
        <v>300</v>
      </c>
      <c r="T436" s="33">
        <f t="shared" si="78"/>
        <v>2</v>
      </c>
      <c r="U436" s="76"/>
      <c r="V436" s="3"/>
      <c r="W436" s="3"/>
      <c r="X436" s="3"/>
      <c r="Y436" s="3"/>
      <c r="Z436" s="3"/>
    </row>
    <row r="437">
      <c r="A437" s="102" t="s">
        <v>485</v>
      </c>
      <c r="B437" s="24">
        <f t="shared" si="73"/>
        <v>300</v>
      </c>
      <c r="C437" s="36">
        <v>30.0</v>
      </c>
      <c r="D437" s="37">
        <f t="shared" si="74"/>
        <v>300</v>
      </c>
      <c r="E437" s="38"/>
      <c r="F437" s="41">
        <v>1.5</v>
      </c>
      <c r="G437" s="40"/>
      <c r="H437" s="40"/>
      <c r="I437" s="41"/>
      <c r="J437" s="40"/>
      <c r="K437" s="41"/>
      <c r="L437" s="44"/>
      <c r="M437" s="41">
        <v>0.5</v>
      </c>
      <c r="N437" s="37">
        <f t="shared" si="75"/>
        <v>2</v>
      </c>
      <c r="O437" s="40"/>
      <c r="P437" s="40"/>
      <c r="Q437" s="67"/>
      <c r="R437" s="42">
        <f t="shared" si="76"/>
        <v>0</v>
      </c>
      <c r="S437" s="43">
        <f t="shared" si="77"/>
        <v>298</v>
      </c>
      <c r="T437" s="33">
        <f t="shared" si="78"/>
        <v>10</v>
      </c>
      <c r="U437" s="3"/>
      <c r="V437" s="3"/>
      <c r="W437" s="3"/>
      <c r="X437" s="3"/>
      <c r="Y437" s="3"/>
      <c r="Z437" s="3"/>
    </row>
    <row r="438">
      <c r="A438" s="102" t="s">
        <v>486</v>
      </c>
      <c r="B438" s="24">
        <f t="shared" si="73"/>
        <v>300</v>
      </c>
      <c r="C438" s="36">
        <v>30.0</v>
      </c>
      <c r="D438" s="37">
        <f t="shared" si="74"/>
        <v>300</v>
      </c>
      <c r="E438" s="39"/>
      <c r="F438" s="41"/>
      <c r="G438" s="40"/>
      <c r="H438" s="40"/>
      <c r="I438" s="41"/>
      <c r="J438" s="40"/>
      <c r="K438" s="44"/>
      <c r="L438" s="44"/>
      <c r="M438" s="41"/>
      <c r="N438" s="37">
        <f t="shared" si="75"/>
        <v>0</v>
      </c>
      <c r="O438" s="40"/>
      <c r="P438" s="40"/>
      <c r="Q438" s="67"/>
      <c r="R438" s="42">
        <f t="shared" si="76"/>
        <v>0</v>
      </c>
      <c r="S438" s="45">
        <f t="shared" si="77"/>
        <v>300</v>
      </c>
      <c r="T438" s="33">
        <f t="shared" si="78"/>
        <v>2</v>
      </c>
      <c r="U438" s="76"/>
      <c r="V438" s="3"/>
      <c r="W438" s="3"/>
      <c r="X438" s="3"/>
      <c r="Y438" s="3"/>
      <c r="Z438" s="3"/>
    </row>
    <row r="439">
      <c r="A439" s="102" t="s">
        <v>487</v>
      </c>
      <c r="B439" s="24">
        <f t="shared" si="73"/>
        <v>300</v>
      </c>
      <c r="C439" s="36">
        <v>30.0</v>
      </c>
      <c r="D439" s="37">
        <f t="shared" si="74"/>
        <v>300</v>
      </c>
      <c r="E439" s="41">
        <v>1.5</v>
      </c>
      <c r="F439" s="41">
        <v>0.5</v>
      </c>
      <c r="G439" s="40"/>
      <c r="H439" s="40"/>
      <c r="I439" s="41"/>
      <c r="J439" s="40"/>
      <c r="K439" s="44"/>
      <c r="L439" s="44"/>
      <c r="M439" s="41"/>
      <c r="N439" s="37">
        <f t="shared" si="75"/>
        <v>2</v>
      </c>
      <c r="O439" s="40"/>
      <c r="P439" s="40"/>
      <c r="Q439" s="67"/>
      <c r="R439" s="42">
        <f t="shared" si="76"/>
        <v>0</v>
      </c>
      <c r="S439" s="45">
        <f t="shared" si="77"/>
        <v>298</v>
      </c>
      <c r="T439" s="33">
        <f t="shared" si="78"/>
        <v>10</v>
      </c>
      <c r="U439" s="76"/>
      <c r="V439" s="3"/>
      <c r="W439" s="3"/>
      <c r="X439" s="3"/>
      <c r="Y439" s="3"/>
      <c r="Z439" s="3"/>
    </row>
    <row r="440">
      <c r="A440" s="102" t="s">
        <v>488</v>
      </c>
      <c r="B440" s="24">
        <f t="shared" si="73"/>
        <v>300</v>
      </c>
      <c r="C440" s="36">
        <v>30.0</v>
      </c>
      <c r="D440" s="37">
        <f t="shared" si="74"/>
        <v>300</v>
      </c>
      <c r="E440" s="41"/>
      <c r="F440" s="41"/>
      <c r="G440" s="40"/>
      <c r="H440" s="40"/>
      <c r="I440" s="41">
        <v>1.5</v>
      </c>
      <c r="J440" s="40"/>
      <c r="K440" s="44"/>
      <c r="L440" s="44"/>
      <c r="M440" s="41"/>
      <c r="N440" s="37">
        <f t="shared" si="75"/>
        <v>1.5</v>
      </c>
      <c r="O440" s="40"/>
      <c r="P440" s="40"/>
      <c r="Q440" s="67"/>
      <c r="R440" s="42">
        <f t="shared" si="76"/>
        <v>0</v>
      </c>
      <c r="S440" s="47">
        <f t="shared" si="77"/>
        <v>298.5</v>
      </c>
      <c r="T440" s="33">
        <f t="shared" si="78"/>
        <v>9</v>
      </c>
      <c r="U440" s="76"/>
      <c r="V440" s="3"/>
      <c r="W440" s="3"/>
      <c r="X440" s="3"/>
      <c r="Y440" s="3"/>
      <c r="Z440" s="3"/>
    </row>
    <row r="441">
      <c r="A441" s="103" t="s">
        <v>489</v>
      </c>
      <c r="B441" s="49">
        <f t="shared" si="73"/>
        <v>300</v>
      </c>
      <c r="C441" s="50">
        <v>30.0</v>
      </c>
      <c r="D441" s="51">
        <f t="shared" si="74"/>
        <v>300</v>
      </c>
      <c r="E441" s="74"/>
      <c r="F441" s="74"/>
      <c r="G441" s="53"/>
      <c r="H441" s="53"/>
      <c r="I441" s="74">
        <v>0.5</v>
      </c>
      <c r="J441" s="52"/>
      <c r="K441" s="74"/>
      <c r="L441" s="54"/>
      <c r="M441" s="74"/>
      <c r="N441" s="51">
        <f t="shared" si="75"/>
        <v>0.5</v>
      </c>
      <c r="O441" s="53"/>
      <c r="P441" s="53"/>
      <c r="Q441" s="69">
        <v>2.0</v>
      </c>
      <c r="R441" s="56">
        <f t="shared" si="76"/>
        <v>2</v>
      </c>
      <c r="S441" s="57">
        <f t="shared" si="77"/>
        <v>301.5</v>
      </c>
      <c r="T441" s="33">
        <f t="shared" si="78"/>
        <v>1</v>
      </c>
      <c r="U441" s="76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124"/>
      <c r="F442" s="104"/>
      <c r="G442" s="3"/>
      <c r="H442" s="3"/>
      <c r="I442" s="124"/>
      <c r="J442" s="3"/>
      <c r="K442" s="104"/>
      <c r="L442" s="104"/>
      <c r="M442" s="104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63"/>
      <c r="B443" s="63" t="s">
        <v>490</v>
      </c>
      <c r="C443" s="3"/>
      <c r="D443" s="3"/>
      <c r="E443" s="124"/>
      <c r="F443" s="104"/>
      <c r="G443" s="63"/>
      <c r="H443" s="3"/>
      <c r="I443" s="105"/>
      <c r="J443" s="62"/>
      <c r="K443" s="104"/>
      <c r="L443" s="105"/>
      <c r="M443" s="104"/>
      <c r="N443" s="62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63"/>
      <c r="B444" s="64" t="s">
        <v>644</v>
      </c>
      <c r="C444" s="3"/>
      <c r="D444" s="3"/>
      <c r="E444" s="124"/>
      <c r="F444" s="104"/>
      <c r="G444" s="63"/>
      <c r="H444" s="3"/>
      <c r="I444" s="105"/>
      <c r="J444" s="62"/>
      <c r="K444" s="104"/>
      <c r="L444" s="105"/>
      <c r="M444" s="104"/>
      <c r="N444" s="70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63"/>
      <c r="B445" s="64" t="s">
        <v>645</v>
      </c>
      <c r="C445" s="3"/>
      <c r="D445" s="3"/>
      <c r="E445" s="124"/>
      <c r="F445" s="104"/>
      <c r="G445" s="63"/>
      <c r="H445" s="3"/>
      <c r="I445" s="124"/>
      <c r="J445" s="62"/>
      <c r="K445" s="104"/>
      <c r="L445" s="105"/>
      <c r="M445" s="104"/>
      <c r="N445" s="79"/>
      <c r="O445" s="85" t="s">
        <v>455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63"/>
      <c r="B446" s="64" t="s">
        <v>646</v>
      </c>
      <c r="C446" s="3"/>
      <c r="D446" s="3"/>
      <c r="E446" s="124"/>
      <c r="F446" s="104"/>
      <c r="G446" s="63"/>
      <c r="H446" s="3"/>
      <c r="I446" s="124"/>
      <c r="J446" s="62"/>
      <c r="K446" s="104"/>
      <c r="L446" s="105"/>
      <c r="M446" s="104"/>
      <c r="N446" s="79"/>
      <c r="O446" s="79" t="s">
        <v>647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63"/>
      <c r="B447" s="64" t="s">
        <v>648</v>
      </c>
      <c r="C447" s="3"/>
      <c r="D447" s="3"/>
      <c r="E447" s="124"/>
      <c r="F447" s="104"/>
      <c r="G447" s="63"/>
      <c r="H447" s="3"/>
      <c r="I447" s="124"/>
      <c r="J447" s="62"/>
      <c r="K447" s="104"/>
      <c r="L447" s="105"/>
      <c r="M447" s="104"/>
      <c r="N447" s="79"/>
      <c r="O447" s="94" t="s">
        <v>649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63"/>
      <c r="B448" s="64" t="s">
        <v>650</v>
      </c>
      <c r="C448" s="3"/>
      <c r="D448" s="3"/>
      <c r="E448" s="124"/>
      <c r="F448" s="104"/>
      <c r="G448" s="63"/>
      <c r="H448" s="3"/>
      <c r="I448" s="124"/>
      <c r="J448" s="62"/>
      <c r="K448" s="104"/>
      <c r="L448" s="105"/>
      <c r="M448" s="104"/>
      <c r="N448" s="79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63"/>
      <c r="B449" s="64" t="s">
        <v>651</v>
      </c>
      <c r="C449" s="3"/>
      <c r="D449" s="3"/>
      <c r="E449" s="124"/>
      <c r="F449" s="104"/>
      <c r="G449" s="63"/>
      <c r="H449" s="3"/>
      <c r="I449" s="124"/>
      <c r="J449" s="62"/>
      <c r="K449" s="104"/>
      <c r="L449" s="105"/>
      <c r="M449" s="104"/>
      <c r="N449" s="79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63"/>
      <c r="B450" s="64" t="s">
        <v>652</v>
      </c>
      <c r="C450" s="3"/>
      <c r="D450" s="3"/>
      <c r="E450" s="124"/>
      <c r="F450" s="104"/>
      <c r="G450" s="63"/>
      <c r="H450" s="3"/>
      <c r="I450" s="124"/>
      <c r="J450" s="62"/>
      <c r="K450" s="104"/>
      <c r="L450" s="105"/>
      <c r="M450" s="104"/>
      <c r="N450" s="79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63"/>
      <c r="B451" s="64" t="s">
        <v>653</v>
      </c>
      <c r="C451" s="3"/>
      <c r="D451" s="3"/>
      <c r="E451" s="124"/>
      <c r="F451" s="104"/>
      <c r="G451" s="63"/>
      <c r="H451" s="3"/>
      <c r="I451" s="124"/>
      <c r="J451" s="62"/>
      <c r="K451" s="104"/>
      <c r="L451" s="105"/>
      <c r="M451" s="104"/>
      <c r="N451" s="79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65" t="s">
        <v>654</v>
      </c>
      <c r="C452" s="3"/>
      <c r="D452" s="3"/>
      <c r="E452" s="124"/>
      <c r="F452" s="104"/>
      <c r="G452" s="3"/>
      <c r="H452" s="3"/>
      <c r="I452" s="124"/>
      <c r="J452" s="3"/>
      <c r="K452" s="104"/>
      <c r="L452" s="104"/>
      <c r="M452" s="104"/>
      <c r="N452" s="9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124"/>
      <c r="F453" s="104"/>
      <c r="G453" s="3"/>
      <c r="H453" s="3"/>
      <c r="I453" s="124"/>
      <c r="J453" s="3"/>
      <c r="K453" s="104"/>
      <c r="L453" s="104"/>
      <c r="M453" s="104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124"/>
      <c r="F454" s="104"/>
      <c r="G454" s="3"/>
      <c r="H454" s="3"/>
      <c r="I454" s="124"/>
      <c r="J454" s="3"/>
      <c r="K454" s="104"/>
      <c r="L454" s="104"/>
      <c r="M454" s="104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124"/>
      <c r="F455" s="104"/>
      <c r="G455" s="3"/>
      <c r="H455" s="3"/>
      <c r="I455" s="124"/>
      <c r="J455" s="3"/>
      <c r="K455" s="104"/>
      <c r="L455" s="104"/>
      <c r="M455" s="104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" t="s">
        <v>655</v>
      </c>
      <c r="U456" s="3"/>
      <c r="V456" s="3"/>
      <c r="W456" s="3"/>
      <c r="X456" s="3"/>
      <c r="Y456" s="3"/>
      <c r="Z456" s="3"/>
    </row>
    <row r="457">
      <c r="A457" s="1" t="s">
        <v>656</v>
      </c>
      <c r="U457" s="3"/>
      <c r="V457" s="3"/>
      <c r="W457" s="3"/>
      <c r="X457" s="3"/>
      <c r="Y457" s="3"/>
      <c r="Z457" s="3"/>
    </row>
    <row r="458">
      <c r="A458" s="2"/>
      <c r="B458" s="4"/>
      <c r="C458" s="2"/>
      <c r="D458" s="2"/>
      <c r="E458" s="78"/>
      <c r="F458" s="98"/>
      <c r="G458" s="2"/>
      <c r="H458" s="2"/>
      <c r="I458" s="78"/>
      <c r="J458" s="2"/>
      <c r="K458" s="98"/>
      <c r="L458" s="98"/>
      <c r="M458" s="98"/>
      <c r="N458" s="2"/>
      <c r="O458" s="2"/>
      <c r="P458" s="2"/>
      <c r="Q458" s="2"/>
      <c r="R458" s="2"/>
      <c r="S458" s="2"/>
      <c r="T458" s="2"/>
      <c r="U458" s="3"/>
      <c r="V458" s="3"/>
      <c r="W458" s="3"/>
      <c r="X458" s="3"/>
      <c r="Y458" s="3"/>
      <c r="Z458" s="3"/>
    </row>
    <row r="459">
      <c r="A459" s="8" t="s">
        <v>2</v>
      </c>
      <c r="B459" s="9" t="s">
        <v>3</v>
      </c>
      <c r="C459" s="10"/>
      <c r="D459" s="11"/>
      <c r="E459" s="12" t="s">
        <v>4</v>
      </c>
      <c r="F459" s="10"/>
      <c r="G459" s="10"/>
      <c r="H459" s="10"/>
      <c r="I459" s="10"/>
      <c r="J459" s="10"/>
      <c r="K459" s="10"/>
      <c r="L459" s="10"/>
      <c r="M459" s="10"/>
      <c r="N459" s="11"/>
      <c r="O459" s="13" t="s">
        <v>5</v>
      </c>
      <c r="P459" s="10"/>
      <c r="Q459" s="10"/>
      <c r="R459" s="11"/>
      <c r="S459" s="14" t="s">
        <v>6</v>
      </c>
      <c r="T459" s="14" t="s">
        <v>7</v>
      </c>
      <c r="U459" s="3"/>
      <c r="V459" s="3"/>
      <c r="W459" s="3"/>
      <c r="X459" s="3"/>
      <c r="Y459" s="3"/>
      <c r="Z459" s="3"/>
    </row>
    <row r="460">
      <c r="A460" s="15"/>
      <c r="B460" s="16" t="s">
        <v>8</v>
      </c>
      <c r="C460" s="17" t="s">
        <v>9</v>
      </c>
      <c r="D460" s="14" t="s">
        <v>10</v>
      </c>
      <c r="E460" s="17" t="s">
        <v>11</v>
      </c>
      <c r="F460" s="18" t="s">
        <v>12</v>
      </c>
      <c r="G460" s="17" t="s">
        <v>13</v>
      </c>
      <c r="H460" s="17" t="s">
        <v>14</v>
      </c>
      <c r="I460" s="17" t="s">
        <v>15</v>
      </c>
      <c r="J460" s="17" t="s">
        <v>16</v>
      </c>
      <c r="K460" s="18" t="s">
        <v>17</v>
      </c>
      <c r="L460" s="18" t="s">
        <v>18</v>
      </c>
      <c r="M460" s="18" t="s">
        <v>19</v>
      </c>
      <c r="N460" s="14" t="s">
        <v>20</v>
      </c>
      <c r="O460" s="17" t="s">
        <v>21</v>
      </c>
      <c r="P460" s="17" t="s">
        <v>22</v>
      </c>
      <c r="Q460" s="17" t="s">
        <v>23</v>
      </c>
      <c r="R460" s="14" t="s">
        <v>24</v>
      </c>
      <c r="S460" s="19"/>
      <c r="T460" s="19"/>
      <c r="U460" s="3"/>
      <c r="V460" s="3"/>
      <c r="W460" s="3"/>
      <c r="X460" s="3"/>
      <c r="Y460" s="3"/>
      <c r="Z460" s="3"/>
    </row>
    <row r="461">
      <c r="A461" s="20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3"/>
      <c r="V461" s="3"/>
      <c r="W461" s="3"/>
      <c r="X461" s="3"/>
      <c r="Y461" s="3"/>
      <c r="Z461" s="3"/>
    </row>
    <row r="462">
      <c r="A462" s="100">
        <v>12.0</v>
      </c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3"/>
      <c r="V462" s="3"/>
      <c r="W462" s="3"/>
      <c r="X462" s="3"/>
      <c r="Y462" s="3"/>
      <c r="Z462" s="3"/>
    </row>
    <row r="463">
      <c r="A463" s="101" t="s">
        <v>476</v>
      </c>
      <c r="B463" s="24">
        <f t="shared" ref="B463:B476" si="79">300-U463</f>
        <v>300</v>
      </c>
      <c r="C463" s="25">
        <v>30.0</v>
      </c>
      <c r="D463" s="26">
        <f>B463-U463</f>
        <v>300</v>
      </c>
      <c r="E463" s="28"/>
      <c r="F463" s="73"/>
      <c r="G463" s="29"/>
      <c r="H463" s="29"/>
      <c r="I463" s="28"/>
      <c r="J463" s="29"/>
      <c r="K463" s="30"/>
      <c r="L463" s="30"/>
      <c r="M463" s="41"/>
      <c r="N463" s="26">
        <f t="shared" ref="N463:N476" si="80">SUM(E463:M463)</f>
        <v>0</v>
      </c>
      <c r="O463" s="29"/>
      <c r="P463" s="29"/>
      <c r="Q463" s="83"/>
      <c r="R463" s="31">
        <f t="shared" ref="R463:R476" si="81">SUM(O463:Q463)</f>
        <v>0</v>
      </c>
      <c r="S463" s="32">
        <f t="shared" ref="S463:S476" si="82">D463-N463+R463</f>
        <v>300</v>
      </c>
      <c r="T463" s="33">
        <f t="shared" ref="T463:T476" si="83">RANK(S463,$S$463:$S$476,0)</f>
        <v>6</v>
      </c>
      <c r="U463" s="65">
        <v>0.0</v>
      </c>
      <c r="V463" s="3"/>
      <c r="W463" s="3"/>
      <c r="X463" s="3"/>
      <c r="Y463" s="3"/>
      <c r="Z463" s="3"/>
    </row>
    <row r="464">
      <c r="A464" s="102" t="s">
        <v>477</v>
      </c>
      <c r="B464" s="24">
        <f t="shared" si="79"/>
        <v>300</v>
      </c>
      <c r="C464" s="36">
        <v>30.0</v>
      </c>
      <c r="D464" s="37">
        <f t="shared" ref="D464:D476" si="84">B464</f>
        <v>300</v>
      </c>
      <c r="E464" s="41"/>
      <c r="F464" s="41"/>
      <c r="G464" s="40"/>
      <c r="H464" s="40"/>
      <c r="I464" s="88">
        <v>0.5</v>
      </c>
      <c r="J464" s="40"/>
      <c r="K464" s="44"/>
      <c r="L464" s="41"/>
      <c r="M464" s="88">
        <v>0.5</v>
      </c>
      <c r="N464" s="37">
        <f t="shared" si="80"/>
        <v>1</v>
      </c>
      <c r="O464" s="40"/>
      <c r="P464" s="40"/>
      <c r="Q464" s="67"/>
      <c r="R464" s="42">
        <f t="shared" si="81"/>
        <v>0</v>
      </c>
      <c r="S464" s="43">
        <f t="shared" si="82"/>
        <v>299</v>
      </c>
      <c r="T464" s="33">
        <f t="shared" si="83"/>
        <v>11</v>
      </c>
      <c r="U464" s="65">
        <v>0.0</v>
      </c>
      <c r="V464" s="3"/>
      <c r="W464" s="3"/>
      <c r="X464" s="3"/>
      <c r="Y464" s="3"/>
      <c r="Z464" s="3"/>
    </row>
    <row r="465">
      <c r="A465" s="102" t="s">
        <v>478</v>
      </c>
      <c r="B465" s="24">
        <f t="shared" si="79"/>
        <v>300</v>
      </c>
      <c r="C465" s="36">
        <v>30.0</v>
      </c>
      <c r="D465" s="37">
        <f t="shared" si="84"/>
        <v>300</v>
      </c>
      <c r="E465" s="41"/>
      <c r="F465" s="41"/>
      <c r="G465" s="40"/>
      <c r="H465" s="40"/>
      <c r="I465" s="39"/>
      <c r="J465" s="40"/>
      <c r="K465" s="44"/>
      <c r="L465" s="41"/>
      <c r="M465" s="88">
        <v>2.0</v>
      </c>
      <c r="N465" s="37">
        <f t="shared" si="80"/>
        <v>2</v>
      </c>
      <c r="O465" s="40"/>
      <c r="P465" s="40"/>
      <c r="Q465" s="67">
        <v>1.5</v>
      </c>
      <c r="R465" s="42">
        <f t="shared" si="81"/>
        <v>1.5</v>
      </c>
      <c r="S465" s="45">
        <f t="shared" si="82"/>
        <v>299.5</v>
      </c>
      <c r="T465" s="33">
        <f t="shared" si="83"/>
        <v>9</v>
      </c>
      <c r="U465" s="65">
        <v>0.0</v>
      </c>
      <c r="V465" s="3"/>
      <c r="W465" s="3"/>
      <c r="X465" s="3"/>
      <c r="Y465" s="3"/>
      <c r="Z465" s="3"/>
    </row>
    <row r="466">
      <c r="A466" s="102" t="s">
        <v>479</v>
      </c>
      <c r="B466" s="24">
        <f t="shared" si="79"/>
        <v>300</v>
      </c>
      <c r="C466" s="36">
        <v>30.0</v>
      </c>
      <c r="D466" s="37">
        <f t="shared" si="84"/>
        <v>300</v>
      </c>
      <c r="E466" s="41"/>
      <c r="F466" s="41"/>
      <c r="G466" s="40"/>
      <c r="H466" s="40"/>
      <c r="I466" s="41"/>
      <c r="J466" s="40"/>
      <c r="K466" s="44"/>
      <c r="L466" s="44"/>
      <c r="M466" s="41"/>
      <c r="N466" s="37">
        <f t="shared" si="80"/>
        <v>0</v>
      </c>
      <c r="O466" s="40"/>
      <c r="P466" s="40"/>
      <c r="Q466" s="67">
        <v>0.5</v>
      </c>
      <c r="R466" s="42">
        <f t="shared" si="81"/>
        <v>0.5</v>
      </c>
      <c r="S466" s="45">
        <f t="shared" si="82"/>
        <v>300.5</v>
      </c>
      <c r="T466" s="33">
        <f t="shared" si="83"/>
        <v>3</v>
      </c>
      <c r="U466" s="65">
        <v>0.0</v>
      </c>
      <c r="V466" s="3"/>
      <c r="W466" s="3"/>
      <c r="X466" s="3"/>
      <c r="Y466" s="3"/>
      <c r="Z466" s="3"/>
    </row>
    <row r="467">
      <c r="A467" s="102" t="s">
        <v>480</v>
      </c>
      <c r="B467" s="24">
        <f t="shared" si="79"/>
        <v>300</v>
      </c>
      <c r="C467" s="36">
        <v>30.0</v>
      </c>
      <c r="D467" s="37">
        <f t="shared" si="84"/>
        <v>300</v>
      </c>
      <c r="E467" s="41"/>
      <c r="F467" s="41"/>
      <c r="G467" s="40"/>
      <c r="H467" s="40"/>
      <c r="I467" s="39"/>
      <c r="J467" s="40"/>
      <c r="K467" s="44"/>
      <c r="L467" s="44"/>
      <c r="M467" s="41"/>
      <c r="N467" s="37">
        <f t="shared" si="80"/>
        <v>0</v>
      </c>
      <c r="O467" s="40"/>
      <c r="P467" s="40"/>
      <c r="Q467" s="67">
        <v>0.5</v>
      </c>
      <c r="R467" s="42">
        <f t="shared" si="81"/>
        <v>0.5</v>
      </c>
      <c r="S467" s="45">
        <f t="shared" si="82"/>
        <v>300.5</v>
      </c>
      <c r="T467" s="33">
        <f t="shared" si="83"/>
        <v>3</v>
      </c>
      <c r="U467" s="65">
        <v>0.0</v>
      </c>
      <c r="V467" s="3"/>
      <c r="W467" s="3"/>
      <c r="X467" s="3"/>
      <c r="Y467" s="3"/>
      <c r="Z467" s="3"/>
    </row>
    <row r="468">
      <c r="A468" s="102" t="s">
        <v>481</v>
      </c>
      <c r="B468" s="24">
        <f t="shared" si="79"/>
        <v>300</v>
      </c>
      <c r="C468" s="36">
        <v>30.0</v>
      </c>
      <c r="D468" s="37">
        <f t="shared" si="84"/>
        <v>300</v>
      </c>
      <c r="E468" s="39"/>
      <c r="F468" s="41"/>
      <c r="G468" s="40"/>
      <c r="H468" s="40"/>
      <c r="I468" s="39"/>
      <c r="J468" s="40"/>
      <c r="K468" s="44"/>
      <c r="L468" s="41"/>
      <c r="M468" s="88">
        <v>4.0</v>
      </c>
      <c r="N468" s="37">
        <f t="shared" si="80"/>
        <v>4</v>
      </c>
      <c r="O468" s="40"/>
      <c r="P468" s="40"/>
      <c r="Q468" s="67"/>
      <c r="R468" s="42">
        <f t="shared" si="81"/>
        <v>0</v>
      </c>
      <c r="S468" s="45">
        <f t="shared" si="82"/>
        <v>296</v>
      </c>
      <c r="T468" s="33">
        <f t="shared" si="83"/>
        <v>14</v>
      </c>
      <c r="U468" s="65">
        <v>0.0</v>
      </c>
      <c r="V468" s="3"/>
      <c r="W468" s="3"/>
      <c r="X468" s="3"/>
      <c r="Y468" s="3"/>
      <c r="Z468" s="3"/>
    </row>
    <row r="469">
      <c r="A469" s="102" t="s">
        <v>482</v>
      </c>
      <c r="B469" s="24">
        <f t="shared" si="79"/>
        <v>300</v>
      </c>
      <c r="C469" s="36">
        <v>30.0</v>
      </c>
      <c r="D469" s="37">
        <f t="shared" si="84"/>
        <v>300</v>
      </c>
      <c r="E469" s="39"/>
      <c r="F469" s="41"/>
      <c r="G469" s="40"/>
      <c r="H469" s="40"/>
      <c r="I469" s="39"/>
      <c r="J469" s="38"/>
      <c r="K469" s="44"/>
      <c r="L469" s="41"/>
      <c r="M469" s="41"/>
      <c r="N469" s="37">
        <f t="shared" si="80"/>
        <v>0</v>
      </c>
      <c r="O469" s="40"/>
      <c r="P469" s="40"/>
      <c r="Q469" s="67"/>
      <c r="R469" s="42">
        <f t="shared" si="81"/>
        <v>0</v>
      </c>
      <c r="S469" s="45">
        <f t="shared" si="82"/>
        <v>300</v>
      </c>
      <c r="T469" s="33">
        <f t="shared" si="83"/>
        <v>6</v>
      </c>
      <c r="U469" s="65">
        <v>0.0</v>
      </c>
      <c r="V469" s="3"/>
      <c r="W469" s="3"/>
      <c r="X469" s="3"/>
      <c r="Y469" s="3"/>
      <c r="Z469" s="3"/>
    </row>
    <row r="470">
      <c r="A470" s="102" t="s">
        <v>483</v>
      </c>
      <c r="B470" s="24">
        <f t="shared" si="79"/>
        <v>300</v>
      </c>
      <c r="C470" s="36">
        <v>30.0</v>
      </c>
      <c r="D470" s="37">
        <f t="shared" si="84"/>
        <v>300</v>
      </c>
      <c r="E470" s="39">
        <v>1.5</v>
      </c>
      <c r="F470" s="41"/>
      <c r="G470" s="40"/>
      <c r="H470" s="40"/>
      <c r="I470" s="41"/>
      <c r="J470" s="40"/>
      <c r="K470" s="44"/>
      <c r="L470" s="41"/>
      <c r="M470" s="41"/>
      <c r="N470" s="37">
        <f t="shared" si="80"/>
        <v>1.5</v>
      </c>
      <c r="O470" s="40"/>
      <c r="P470" s="40"/>
      <c r="Q470" s="67">
        <v>0.5</v>
      </c>
      <c r="R470" s="42">
        <f t="shared" si="81"/>
        <v>0.5</v>
      </c>
      <c r="S470" s="47">
        <f t="shared" si="82"/>
        <v>299</v>
      </c>
      <c r="T470" s="33">
        <f t="shared" si="83"/>
        <v>11</v>
      </c>
      <c r="U470" s="65">
        <v>0.0</v>
      </c>
      <c r="V470" s="3"/>
      <c r="W470" s="3"/>
      <c r="X470" s="3"/>
      <c r="Y470" s="3"/>
      <c r="Z470" s="3"/>
    </row>
    <row r="471">
      <c r="A471" s="102" t="s">
        <v>484</v>
      </c>
      <c r="B471" s="24">
        <f t="shared" si="79"/>
        <v>300</v>
      </c>
      <c r="C471" s="36">
        <v>30.0</v>
      </c>
      <c r="D471" s="37">
        <f t="shared" si="84"/>
        <v>300</v>
      </c>
      <c r="E471" s="41"/>
      <c r="F471" s="41"/>
      <c r="G471" s="40"/>
      <c r="H471" s="40"/>
      <c r="I471" s="41"/>
      <c r="J471" s="38"/>
      <c r="K471" s="44"/>
      <c r="L471" s="41"/>
      <c r="M471" s="41"/>
      <c r="N471" s="37">
        <f t="shared" si="80"/>
        <v>0</v>
      </c>
      <c r="O471" s="40"/>
      <c r="P471" s="40"/>
      <c r="Q471" s="67">
        <v>0.5</v>
      </c>
      <c r="R471" s="42">
        <f t="shared" si="81"/>
        <v>0.5</v>
      </c>
      <c r="S471" s="47">
        <f t="shared" si="82"/>
        <v>300.5</v>
      </c>
      <c r="T471" s="33">
        <f t="shared" si="83"/>
        <v>3</v>
      </c>
      <c r="U471" s="65">
        <v>0.0</v>
      </c>
      <c r="V471" s="3"/>
      <c r="W471" s="3"/>
      <c r="X471" s="3"/>
      <c r="Y471" s="3"/>
      <c r="Z471" s="3"/>
    </row>
    <row r="472">
      <c r="A472" s="102" t="s">
        <v>485</v>
      </c>
      <c r="B472" s="24">
        <f t="shared" si="79"/>
        <v>300</v>
      </c>
      <c r="C472" s="36">
        <v>30.0</v>
      </c>
      <c r="D472" s="37">
        <f t="shared" si="84"/>
        <v>300</v>
      </c>
      <c r="E472" s="38"/>
      <c r="F472" s="41"/>
      <c r="G472" s="40"/>
      <c r="H472" s="40"/>
      <c r="I472" s="41"/>
      <c r="J472" s="40"/>
      <c r="K472" s="41"/>
      <c r="L472" s="44"/>
      <c r="M472" s="41"/>
      <c r="N472" s="37">
        <f t="shared" si="80"/>
        <v>0</v>
      </c>
      <c r="O472" s="40"/>
      <c r="P472" s="40"/>
      <c r="Q472" s="67"/>
      <c r="R472" s="42">
        <f t="shared" si="81"/>
        <v>0</v>
      </c>
      <c r="S472" s="43">
        <f t="shared" si="82"/>
        <v>300</v>
      </c>
      <c r="T472" s="33">
        <f t="shared" si="83"/>
        <v>6</v>
      </c>
      <c r="U472" s="65">
        <v>0.0</v>
      </c>
      <c r="V472" s="3"/>
      <c r="W472" s="3"/>
      <c r="X472" s="3"/>
      <c r="Y472" s="3"/>
      <c r="Z472" s="3"/>
    </row>
    <row r="473">
      <c r="A473" s="102" t="s">
        <v>486</v>
      </c>
      <c r="B473" s="24">
        <f t="shared" si="79"/>
        <v>300</v>
      </c>
      <c r="C473" s="36">
        <v>30.0</v>
      </c>
      <c r="D473" s="37">
        <f t="shared" si="84"/>
        <v>300</v>
      </c>
      <c r="E473" s="39"/>
      <c r="F473" s="41"/>
      <c r="G473" s="40"/>
      <c r="H473" s="40"/>
      <c r="I473" s="88">
        <v>0.5</v>
      </c>
      <c r="J473" s="40"/>
      <c r="K473" s="44"/>
      <c r="L473" s="44"/>
      <c r="M473" s="41"/>
      <c r="N473" s="37">
        <f t="shared" si="80"/>
        <v>0.5</v>
      </c>
      <c r="O473" s="40"/>
      <c r="P473" s="40"/>
      <c r="Q473" s="67"/>
      <c r="R473" s="42">
        <f t="shared" si="81"/>
        <v>0</v>
      </c>
      <c r="S473" s="45">
        <f t="shared" si="82"/>
        <v>299.5</v>
      </c>
      <c r="T473" s="33">
        <f t="shared" si="83"/>
        <v>9</v>
      </c>
      <c r="U473" s="65">
        <v>0.0</v>
      </c>
      <c r="V473" s="3"/>
      <c r="W473" s="3"/>
      <c r="X473" s="3"/>
      <c r="Y473" s="3"/>
      <c r="Z473" s="3"/>
    </row>
    <row r="474">
      <c r="A474" s="102" t="s">
        <v>487</v>
      </c>
      <c r="B474" s="24">
        <f t="shared" si="79"/>
        <v>299</v>
      </c>
      <c r="C474" s="36">
        <v>30.0</v>
      </c>
      <c r="D474" s="37">
        <f t="shared" si="84"/>
        <v>299</v>
      </c>
      <c r="E474" s="41"/>
      <c r="F474" s="88">
        <v>1.0</v>
      </c>
      <c r="G474" s="40"/>
      <c r="H474" s="40"/>
      <c r="I474" s="41"/>
      <c r="J474" s="40"/>
      <c r="K474" s="44"/>
      <c r="L474" s="44"/>
      <c r="M474" s="41"/>
      <c r="N474" s="37">
        <f t="shared" si="80"/>
        <v>1</v>
      </c>
      <c r="O474" s="40"/>
      <c r="P474" s="40"/>
      <c r="Q474" s="67"/>
      <c r="R474" s="42">
        <f t="shared" si="81"/>
        <v>0</v>
      </c>
      <c r="S474" s="45">
        <f t="shared" si="82"/>
        <v>298</v>
      </c>
      <c r="T474" s="33">
        <f t="shared" si="83"/>
        <v>13</v>
      </c>
      <c r="U474" s="65">
        <v>1.0</v>
      </c>
      <c r="V474" s="3"/>
      <c r="W474" s="3"/>
      <c r="X474" s="3"/>
      <c r="Y474" s="3"/>
      <c r="Z474" s="3"/>
    </row>
    <row r="475">
      <c r="A475" s="102" t="s">
        <v>488</v>
      </c>
      <c r="B475" s="24">
        <f t="shared" si="79"/>
        <v>300</v>
      </c>
      <c r="C475" s="36">
        <v>30.0</v>
      </c>
      <c r="D475" s="37">
        <f t="shared" si="84"/>
        <v>300</v>
      </c>
      <c r="E475" s="41"/>
      <c r="F475" s="41"/>
      <c r="G475" s="40"/>
      <c r="H475" s="40"/>
      <c r="I475" s="41"/>
      <c r="J475" s="40"/>
      <c r="K475" s="44"/>
      <c r="L475" s="44"/>
      <c r="M475" s="41"/>
      <c r="N475" s="37">
        <f t="shared" si="80"/>
        <v>0</v>
      </c>
      <c r="O475" s="40"/>
      <c r="P475" s="40"/>
      <c r="Q475" s="67">
        <v>2.5</v>
      </c>
      <c r="R475" s="42">
        <f t="shared" si="81"/>
        <v>2.5</v>
      </c>
      <c r="S475" s="47">
        <f t="shared" si="82"/>
        <v>302.5</v>
      </c>
      <c r="T475" s="33">
        <f t="shared" si="83"/>
        <v>1</v>
      </c>
      <c r="U475" s="65">
        <v>0.0</v>
      </c>
      <c r="V475" s="3"/>
      <c r="W475" s="3"/>
      <c r="X475" s="3"/>
      <c r="Y475" s="3"/>
      <c r="Z475" s="3"/>
    </row>
    <row r="476">
      <c r="A476" s="103" t="s">
        <v>489</v>
      </c>
      <c r="B476" s="49">
        <f t="shared" si="79"/>
        <v>300</v>
      </c>
      <c r="C476" s="50">
        <v>30.0</v>
      </c>
      <c r="D476" s="51">
        <f t="shared" si="84"/>
        <v>300</v>
      </c>
      <c r="E476" s="74"/>
      <c r="F476" s="74"/>
      <c r="G476" s="53"/>
      <c r="H476" s="53"/>
      <c r="I476" s="74"/>
      <c r="J476" s="52"/>
      <c r="K476" s="74"/>
      <c r="L476" s="54"/>
      <c r="M476" s="74"/>
      <c r="N476" s="51">
        <f t="shared" si="80"/>
        <v>0</v>
      </c>
      <c r="O476" s="53"/>
      <c r="P476" s="53"/>
      <c r="Q476" s="69">
        <v>1.5</v>
      </c>
      <c r="R476" s="56">
        <f t="shared" si="81"/>
        <v>1.5</v>
      </c>
      <c r="S476" s="57">
        <f t="shared" si="82"/>
        <v>301.5</v>
      </c>
      <c r="T476" s="33">
        <f t="shared" si="83"/>
        <v>2</v>
      </c>
      <c r="U476" s="65">
        <v>0.0</v>
      </c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124"/>
      <c r="F477" s="104"/>
      <c r="G477" s="3"/>
      <c r="H477" s="3"/>
      <c r="I477" s="124"/>
      <c r="J477" s="3"/>
      <c r="K477" s="104"/>
      <c r="L477" s="104"/>
      <c r="M477" s="104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63"/>
      <c r="B478" s="63" t="s">
        <v>490</v>
      </c>
      <c r="C478" s="3"/>
      <c r="D478" s="3"/>
      <c r="E478" s="124"/>
      <c r="F478" s="104"/>
      <c r="G478" s="63"/>
      <c r="H478" s="3"/>
      <c r="I478" s="105"/>
      <c r="J478" s="62"/>
      <c r="K478" s="104"/>
      <c r="L478" s="105"/>
      <c r="M478" s="104"/>
      <c r="N478" s="62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63"/>
      <c r="B479" s="64" t="s">
        <v>657</v>
      </c>
      <c r="C479" s="3"/>
      <c r="D479" s="3"/>
      <c r="E479" s="124"/>
      <c r="F479" s="104"/>
      <c r="G479" s="63"/>
      <c r="H479" s="3"/>
      <c r="I479" s="105"/>
      <c r="J479" s="62"/>
      <c r="K479" s="104"/>
      <c r="L479" s="105"/>
      <c r="M479" s="104"/>
      <c r="N479" s="70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63"/>
      <c r="B480" s="64" t="s">
        <v>658</v>
      </c>
      <c r="C480" s="3"/>
      <c r="D480" s="3"/>
      <c r="E480" s="124"/>
      <c r="F480" s="104"/>
      <c r="G480" s="63"/>
      <c r="H480" s="3"/>
      <c r="I480" s="124"/>
      <c r="J480" s="62"/>
      <c r="K480" s="104"/>
      <c r="L480" s="105"/>
      <c r="M480" s="104"/>
      <c r="N480" s="79"/>
      <c r="O480" s="85" t="s">
        <v>224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63"/>
      <c r="B481" s="64" t="s">
        <v>659</v>
      </c>
      <c r="C481" s="3"/>
      <c r="D481" s="3"/>
      <c r="E481" s="124"/>
      <c r="F481" s="104"/>
      <c r="G481" s="63"/>
      <c r="H481" s="3"/>
      <c r="I481" s="124"/>
      <c r="J481" s="62"/>
      <c r="K481" s="104"/>
      <c r="L481" s="105"/>
      <c r="M481" s="104"/>
      <c r="N481" s="79"/>
      <c r="O481" s="65" t="s">
        <v>660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63"/>
      <c r="B482" s="64" t="s">
        <v>661</v>
      </c>
      <c r="C482" s="3"/>
      <c r="D482" s="3"/>
      <c r="E482" s="124"/>
      <c r="F482" s="104"/>
      <c r="G482" s="63"/>
      <c r="H482" s="3"/>
      <c r="I482" s="124"/>
      <c r="J482" s="62"/>
      <c r="K482" s="104"/>
      <c r="L482" s="105"/>
      <c r="M482" s="104"/>
      <c r="N482" s="79"/>
      <c r="O482" s="65" t="s">
        <v>662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63"/>
      <c r="B483" s="64" t="s">
        <v>663</v>
      </c>
      <c r="C483" s="3"/>
      <c r="D483" s="3"/>
      <c r="E483" s="124"/>
      <c r="F483" s="104"/>
      <c r="G483" s="63"/>
      <c r="H483" s="3"/>
      <c r="I483" s="124"/>
      <c r="J483" s="62"/>
      <c r="K483" s="104"/>
      <c r="L483" s="105"/>
      <c r="M483" s="104"/>
      <c r="N483" s="79"/>
      <c r="O483" s="62" t="s">
        <v>233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63"/>
      <c r="B484" s="64" t="s">
        <v>664</v>
      </c>
      <c r="C484" s="3"/>
      <c r="D484" s="3"/>
      <c r="E484" s="124"/>
      <c r="F484" s="104"/>
      <c r="G484" s="63"/>
      <c r="H484" s="3"/>
      <c r="I484" s="124"/>
      <c r="J484" s="62"/>
      <c r="K484" s="104"/>
      <c r="L484" s="105"/>
      <c r="M484" s="104"/>
      <c r="N484" s="79"/>
      <c r="O484" s="76" t="s">
        <v>665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63"/>
      <c r="B485" s="64" t="s">
        <v>666</v>
      </c>
      <c r="C485" s="3"/>
      <c r="D485" s="3"/>
      <c r="E485" s="124"/>
      <c r="F485" s="104"/>
      <c r="G485" s="63"/>
      <c r="H485" s="3"/>
      <c r="I485" s="124"/>
      <c r="J485" s="62"/>
      <c r="K485" s="104"/>
      <c r="L485" s="105"/>
      <c r="M485" s="104"/>
      <c r="N485" s="79"/>
      <c r="O485" s="76" t="s">
        <v>667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124"/>
      <c r="F486" s="104"/>
      <c r="G486" s="3"/>
      <c r="H486" s="3"/>
      <c r="I486" s="124"/>
      <c r="J486" s="3"/>
      <c r="K486" s="104"/>
      <c r="L486" s="104"/>
      <c r="M486" s="104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124"/>
      <c r="F487" s="104"/>
      <c r="G487" s="3"/>
      <c r="H487" s="3"/>
      <c r="I487" s="124"/>
      <c r="J487" s="3"/>
      <c r="K487" s="104"/>
      <c r="L487" s="104"/>
      <c r="M487" s="104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124"/>
      <c r="F488" s="104"/>
      <c r="G488" s="3"/>
      <c r="H488" s="3"/>
      <c r="I488" s="124"/>
      <c r="J488" s="3"/>
      <c r="K488" s="104"/>
      <c r="L488" s="104"/>
      <c r="M488" s="104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124"/>
      <c r="F489" s="104"/>
      <c r="G489" s="3"/>
      <c r="H489" s="3"/>
      <c r="I489" s="124"/>
      <c r="J489" s="3"/>
      <c r="K489" s="104"/>
      <c r="L489" s="104"/>
      <c r="M489" s="104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124"/>
      <c r="F490" s="104"/>
      <c r="G490" s="3"/>
      <c r="H490" s="3"/>
      <c r="I490" s="124"/>
      <c r="J490" s="3"/>
      <c r="K490" s="104"/>
      <c r="L490" s="104"/>
      <c r="M490" s="104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124"/>
      <c r="F491" s="104"/>
      <c r="G491" s="3"/>
      <c r="H491" s="3"/>
      <c r="I491" s="124"/>
      <c r="J491" s="3"/>
      <c r="K491" s="104"/>
      <c r="L491" s="104"/>
      <c r="M491" s="104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124"/>
      <c r="F492" s="104"/>
      <c r="G492" s="3"/>
      <c r="H492" s="3"/>
      <c r="I492" s="124"/>
      <c r="J492" s="3"/>
      <c r="K492" s="104"/>
      <c r="L492" s="104"/>
      <c r="M492" s="104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124"/>
      <c r="F493" s="104"/>
      <c r="G493" s="3"/>
      <c r="H493" s="3"/>
      <c r="I493" s="124"/>
      <c r="J493" s="3"/>
      <c r="K493" s="104"/>
      <c r="L493" s="104"/>
      <c r="M493" s="104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124"/>
      <c r="F494" s="104"/>
      <c r="G494" s="3"/>
      <c r="H494" s="3"/>
      <c r="I494" s="124"/>
      <c r="J494" s="3"/>
      <c r="K494" s="104"/>
      <c r="L494" s="104"/>
      <c r="M494" s="104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124"/>
      <c r="F495" s="104"/>
      <c r="G495" s="3"/>
      <c r="H495" s="3"/>
      <c r="I495" s="124"/>
      <c r="J495" s="3"/>
      <c r="K495" s="104"/>
      <c r="L495" s="104"/>
      <c r="M495" s="104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124"/>
      <c r="F496" s="104"/>
      <c r="G496" s="3"/>
      <c r="H496" s="3"/>
      <c r="I496" s="124"/>
      <c r="J496" s="3"/>
      <c r="K496" s="104"/>
      <c r="L496" s="104"/>
      <c r="M496" s="104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124"/>
      <c r="F497" s="104"/>
      <c r="G497" s="3"/>
      <c r="H497" s="3"/>
      <c r="I497" s="124"/>
      <c r="J497" s="3"/>
      <c r="K497" s="104"/>
      <c r="L497" s="104"/>
      <c r="M497" s="104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124"/>
      <c r="F498" s="104"/>
      <c r="G498" s="3"/>
      <c r="H498" s="3"/>
      <c r="I498" s="124"/>
      <c r="J498" s="3"/>
      <c r="K498" s="104"/>
      <c r="L498" s="104"/>
      <c r="M498" s="104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124"/>
      <c r="F499" s="104"/>
      <c r="G499" s="3"/>
      <c r="H499" s="3"/>
      <c r="I499" s="124"/>
      <c r="J499" s="3"/>
      <c r="K499" s="104"/>
      <c r="L499" s="104"/>
      <c r="M499" s="104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124"/>
      <c r="F500" s="104"/>
      <c r="G500" s="3"/>
      <c r="H500" s="3"/>
      <c r="I500" s="124"/>
      <c r="J500" s="3"/>
      <c r="K500" s="104"/>
      <c r="L500" s="104"/>
      <c r="M500" s="104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124"/>
      <c r="F501" s="104"/>
      <c r="G501" s="3"/>
      <c r="H501" s="3"/>
      <c r="I501" s="124"/>
      <c r="J501" s="3"/>
      <c r="K501" s="104"/>
      <c r="L501" s="104"/>
      <c r="M501" s="104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124"/>
      <c r="F502" s="104"/>
      <c r="G502" s="3"/>
      <c r="H502" s="3"/>
      <c r="I502" s="124"/>
      <c r="J502" s="3"/>
      <c r="K502" s="104"/>
      <c r="L502" s="104"/>
      <c r="M502" s="104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124"/>
      <c r="F503" s="104"/>
      <c r="G503" s="3"/>
      <c r="H503" s="3"/>
      <c r="I503" s="124"/>
      <c r="J503" s="3"/>
      <c r="K503" s="104"/>
      <c r="L503" s="104"/>
      <c r="M503" s="104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124"/>
      <c r="F504" s="104"/>
      <c r="G504" s="3"/>
      <c r="H504" s="3"/>
      <c r="I504" s="124"/>
      <c r="J504" s="3"/>
      <c r="K504" s="104"/>
      <c r="L504" s="104"/>
      <c r="M504" s="104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124"/>
      <c r="F505" s="104"/>
      <c r="G505" s="3"/>
      <c r="H505" s="3"/>
      <c r="I505" s="124"/>
      <c r="J505" s="3"/>
      <c r="K505" s="104"/>
      <c r="L505" s="104"/>
      <c r="M505" s="104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124"/>
      <c r="F506" s="104"/>
      <c r="G506" s="3"/>
      <c r="H506" s="3"/>
      <c r="I506" s="124"/>
      <c r="J506" s="3"/>
      <c r="K506" s="104"/>
      <c r="L506" s="104"/>
      <c r="M506" s="104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124"/>
      <c r="F507" s="104"/>
      <c r="G507" s="3"/>
      <c r="H507" s="3"/>
      <c r="I507" s="124"/>
      <c r="J507" s="3"/>
      <c r="K507" s="104"/>
      <c r="L507" s="104"/>
      <c r="M507" s="104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124"/>
      <c r="F508" s="104"/>
      <c r="G508" s="3"/>
      <c r="H508" s="3"/>
      <c r="I508" s="124"/>
      <c r="J508" s="3"/>
      <c r="K508" s="104"/>
      <c r="L508" s="104"/>
      <c r="M508" s="104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124"/>
      <c r="F509" s="104"/>
      <c r="G509" s="3"/>
      <c r="H509" s="3"/>
      <c r="I509" s="124"/>
      <c r="J509" s="3"/>
      <c r="K509" s="104"/>
      <c r="L509" s="104"/>
      <c r="M509" s="104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124"/>
      <c r="F510" s="104"/>
      <c r="G510" s="3"/>
      <c r="H510" s="3"/>
      <c r="I510" s="124"/>
      <c r="J510" s="3"/>
      <c r="K510" s="104"/>
      <c r="L510" s="104"/>
      <c r="M510" s="104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124"/>
      <c r="F511" s="104"/>
      <c r="G511" s="3"/>
      <c r="H511" s="3"/>
      <c r="I511" s="124"/>
      <c r="J511" s="3"/>
      <c r="K511" s="104"/>
      <c r="L511" s="104"/>
      <c r="M511" s="104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124"/>
      <c r="F512" s="104"/>
      <c r="G512" s="3"/>
      <c r="H512" s="3"/>
      <c r="I512" s="124"/>
      <c r="J512" s="3"/>
      <c r="K512" s="104"/>
      <c r="L512" s="104"/>
      <c r="M512" s="104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124"/>
      <c r="F513" s="104"/>
      <c r="G513" s="3"/>
      <c r="H513" s="3"/>
      <c r="I513" s="124"/>
      <c r="J513" s="3"/>
      <c r="K513" s="104"/>
      <c r="L513" s="104"/>
      <c r="M513" s="104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124"/>
      <c r="F514" s="104"/>
      <c r="G514" s="3"/>
      <c r="H514" s="3"/>
      <c r="I514" s="124"/>
      <c r="J514" s="3"/>
      <c r="K514" s="104"/>
      <c r="L514" s="104"/>
      <c r="M514" s="104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124"/>
      <c r="F515" s="104"/>
      <c r="G515" s="3"/>
      <c r="H515" s="3"/>
      <c r="I515" s="124"/>
      <c r="J515" s="3"/>
      <c r="K515" s="104"/>
      <c r="L515" s="104"/>
      <c r="M515" s="104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124"/>
      <c r="F516" s="104"/>
      <c r="G516" s="3"/>
      <c r="H516" s="3"/>
      <c r="I516" s="124"/>
      <c r="J516" s="3"/>
      <c r="K516" s="104"/>
      <c r="L516" s="104"/>
      <c r="M516" s="104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124"/>
      <c r="F517" s="104"/>
      <c r="G517" s="3"/>
      <c r="H517" s="3"/>
      <c r="I517" s="124"/>
      <c r="J517" s="3"/>
      <c r="K517" s="104"/>
      <c r="L517" s="104"/>
      <c r="M517" s="104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124"/>
      <c r="F518" s="104"/>
      <c r="G518" s="3"/>
      <c r="H518" s="3"/>
      <c r="I518" s="124"/>
      <c r="J518" s="3"/>
      <c r="K518" s="104"/>
      <c r="L518" s="104"/>
      <c r="M518" s="104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124"/>
      <c r="F519" s="104"/>
      <c r="G519" s="3"/>
      <c r="H519" s="3"/>
      <c r="I519" s="124"/>
      <c r="J519" s="3"/>
      <c r="K519" s="104"/>
      <c r="L519" s="104"/>
      <c r="M519" s="104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124"/>
      <c r="F520" s="104"/>
      <c r="G520" s="3"/>
      <c r="H520" s="3"/>
      <c r="I520" s="124"/>
      <c r="J520" s="3"/>
      <c r="K520" s="104"/>
      <c r="L520" s="104"/>
      <c r="M520" s="104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124"/>
      <c r="F521" s="104"/>
      <c r="G521" s="3"/>
      <c r="H521" s="3"/>
      <c r="I521" s="124"/>
      <c r="J521" s="3"/>
      <c r="K521" s="104"/>
      <c r="L521" s="104"/>
      <c r="M521" s="104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124"/>
      <c r="F522" s="104"/>
      <c r="G522" s="3"/>
      <c r="H522" s="3"/>
      <c r="I522" s="124"/>
      <c r="J522" s="3"/>
      <c r="K522" s="104"/>
      <c r="L522" s="104"/>
      <c r="M522" s="104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124"/>
      <c r="F523" s="104"/>
      <c r="G523" s="3"/>
      <c r="H523" s="3"/>
      <c r="I523" s="124"/>
      <c r="J523" s="3"/>
      <c r="K523" s="104"/>
      <c r="L523" s="104"/>
      <c r="M523" s="104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124"/>
      <c r="F524" s="104"/>
      <c r="G524" s="3"/>
      <c r="H524" s="3"/>
      <c r="I524" s="124"/>
      <c r="J524" s="3"/>
      <c r="K524" s="104"/>
      <c r="L524" s="104"/>
      <c r="M524" s="104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124"/>
      <c r="F525" s="104"/>
      <c r="G525" s="3"/>
      <c r="H525" s="3"/>
      <c r="I525" s="124"/>
      <c r="J525" s="3"/>
      <c r="K525" s="104"/>
      <c r="L525" s="104"/>
      <c r="M525" s="104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124"/>
      <c r="F526" s="104"/>
      <c r="G526" s="3"/>
      <c r="H526" s="3"/>
      <c r="I526" s="124"/>
      <c r="J526" s="3"/>
      <c r="K526" s="104"/>
      <c r="L526" s="104"/>
      <c r="M526" s="104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124"/>
      <c r="F527" s="104"/>
      <c r="G527" s="3"/>
      <c r="H527" s="3"/>
      <c r="I527" s="124"/>
      <c r="J527" s="3"/>
      <c r="K527" s="104"/>
      <c r="L527" s="104"/>
      <c r="M527" s="104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124"/>
      <c r="F528" s="104"/>
      <c r="G528" s="3"/>
      <c r="H528" s="3"/>
      <c r="I528" s="124"/>
      <c r="J528" s="3"/>
      <c r="K528" s="104"/>
      <c r="L528" s="104"/>
      <c r="M528" s="104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124"/>
      <c r="F529" s="104"/>
      <c r="G529" s="3"/>
      <c r="H529" s="3"/>
      <c r="I529" s="124"/>
      <c r="J529" s="3"/>
      <c r="K529" s="104"/>
      <c r="L529" s="104"/>
      <c r="M529" s="104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124"/>
      <c r="F530" s="104"/>
      <c r="G530" s="3"/>
      <c r="H530" s="3"/>
      <c r="I530" s="124"/>
      <c r="J530" s="3"/>
      <c r="K530" s="104"/>
      <c r="L530" s="104"/>
      <c r="M530" s="104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124"/>
      <c r="F531" s="104"/>
      <c r="G531" s="3"/>
      <c r="H531" s="3"/>
      <c r="I531" s="124"/>
      <c r="J531" s="3"/>
      <c r="K531" s="104"/>
      <c r="L531" s="104"/>
      <c r="M531" s="104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124"/>
      <c r="F532" s="104"/>
      <c r="G532" s="3"/>
      <c r="H532" s="3"/>
      <c r="I532" s="124"/>
      <c r="J532" s="3"/>
      <c r="K532" s="104"/>
      <c r="L532" s="104"/>
      <c r="M532" s="104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124"/>
      <c r="F533" s="104"/>
      <c r="G533" s="3"/>
      <c r="H533" s="3"/>
      <c r="I533" s="124"/>
      <c r="J533" s="3"/>
      <c r="K533" s="104"/>
      <c r="L533" s="104"/>
      <c r="M533" s="104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124"/>
      <c r="F534" s="104"/>
      <c r="G534" s="3"/>
      <c r="H534" s="3"/>
      <c r="I534" s="124"/>
      <c r="J534" s="3"/>
      <c r="K534" s="104"/>
      <c r="L534" s="104"/>
      <c r="M534" s="104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124"/>
      <c r="F535" s="104"/>
      <c r="G535" s="3"/>
      <c r="H535" s="3"/>
      <c r="I535" s="124"/>
      <c r="J535" s="3"/>
      <c r="K535" s="104"/>
      <c r="L535" s="104"/>
      <c r="M535" s="104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124"/>
      <c r="F536" s="104"/>
      <c r="G536" s="3"/>
      <c r="H536" s="3"/>
      <c r="I536" s="124"/>
      <c r="J536" s="3"/>
      <c r="K536" s="104"/>
      <c r="L536" s="104"/>
      <c r="M536" s="104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124"/>
      <c r="F537" s="104"/>
      <c r="G537" s="3"/>
      <c r="H537" s="3"/>
      <c r="I537" s="124"/>
      <c r="J537" s="3"/>
      <c r="K537" s="104"/>
      <c r="L537" s="104"/>
      <c r="M537" s="104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124"/>
      <c r="F538" s="104"/>
      <c r="G538" s="3"/>
      <c r="H538" s="3"/>
      <c r="I538" s="124"/>
      <c r="J538" s="3"/>
      <c r="K538" s="104"/>
      <c r="L538" s="104"/>
      <c r="M538" s="104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124"/>
      <c r="F539" s="104"/>
      <c r="G539" s="3"/>
      <c r="H539" s="3"/>
      <c r="I539" s="124"/>
      <c r="J539" s="3"/>
      <c r="K539" s="104"/>
      <c r="L539" s="104"/>
      <c r="M539" s="104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124"/>
      <c r="F540" s="104"/>
      <c r="G540" s="3"/>
      <c r="H540" s="3"/>
      <c r="I540" s="124"/>
      <c r="J540" s="3"/>
      <c r="K540" s="104"/>
      <c r="L540" s="104"/>
      <c r="M540" s="104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124"/>
      <c r="F541" s="104"/>
      <c r="G541" s="3"/>
      <c r="H541" s="3"/>
      <c r="I541" s="124"/>
      <c r="J541" s="3"/>
      <c r="K541" s="104"/>
      <c r="L541" s="104"/>
      <c r="M541" s="104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124"/>
      <c r="F542" s="104"/>
      <c r="G542" s="3"/>
      <c r="H542" s="3"/>
      <c r="I542" s="124"/>
      <c r="J542" s="3"/>
      <c r="K542" s="104"/>
      <c r="L542" s="104"/>
      <c r="M542" s="104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124"/>
      <c r="F543" s="104"/>
      <c r="G543" s="3"/>
      <c r="H543" s="3"/>
      <c r="I543" s="124"/>
      <c r="J543" s="3"/>
      <c r="K543" s="104"/>
      <c r="L543" s="104"/>
      <c r="M543" s="104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124"/>
      <c r="F544" s="104"/>
      <c r="G544" s="3"/>
      <c r="H544" s="3"/>
      <c r="I544" s="124"/>
      <c r="J544" s="3"/>
      <c r="K544" s="104"/>
      <c r="L544" s="104"/>
      <c r="M544" s="104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124"/>
      <c r="F545" s="104"/>
      <c r="G545" s="3"/>
      <c r="H545" s="3"/>
      <c r="I545" s="124"/>
      <c r="J545" s="3"/>
      <c r="K545" s="104"/>
      <c r="L545" s="104"/>
      <c r="M545" s="104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124"/>
      <c r="F546" s="104"/>
      <c r="G546" s="3"/>
      <c r="H546" s="3"/>
      <c r="I546" s="124"/>
      <c r="J546" s="3"/>
      <c r="K546" s="104"/>
      <c r="L546" s="104"/>
      <c r="M546" s="104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124"/>
      <c r="F547" s="104"/>
      <c r="G547" s="3"/>
      <c r="H547" s="3"/>
      <c r="I547" s="124"/>
      <c r="J547" s="3"/>
      <c r="K547" s="104"/>
      <c r="L547" s="104"/>
      <c r="M547" s="104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124"/>
      <c r="F548" s="104"/>
      <c r="G548" s="3"/>
      <c r="H548" s="3"/>
      <c r="I548" s="124"/>
      <c r="J548" s="3"/>
      <c r="K548" s="104"/>
      <c r="L548" s="104"/>
      <c r="M548" s="104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124"/>
      <c r="F549" s="104"/>
      <c r="G549" s="3"/>
      <c r="H549" s="3"/>
      <c r="I549" s="124"/>
      <c r="J549" s="3"/>
      <c r="K549" s="104"/>
      <c r="L549" s="104"/>
      <c r="M549" s="104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124"/>
      <c r="F550" s="104"/>
      <c r="G550" s="3"/>
      <c r="H550" s="3"/>
      <c r="I550" s="124"/>
      <c r="J550" s="3"/>
      <c r="K550" s="104"/>
      <c r="L550" s="104"/>
      <c r="M550" s="104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124"/>
      <c r="F551" s="104"/>
      <c r="G551" s="3"/>
      <c r="H551" s="3"/>
      <c r="I551" s="124"/>
      <c r="J551" s="3"/>
      <c r="K551" s="104"/>
      <c r="L551" s="104"/>
      <c r="M551" s="104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124"/>
      <c r="F552" s="104"/>
      <c r="G552" s="3"/>
      <c r="H552" s="3"/>
      <c r="I552" s="124"/>
      <c r="J552" s="3"/>
      <c r="K552" s="104"/>
      <c r="L552" s="104"/>
      <c r="M552" s="104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124"/>
      <c r="F553" s="104"/>
      <c r="G553" s="3"/>
      <c r="H553" s="3"/>
      <c r="I553" s="124"/>
      <c r="J553" s="3"/>
      <c r="K553" s="104"/>
      <c r="L553" s="104"/>
      <c r="M553" s="104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124"/>
      <c r="F554" s="104"/>
      <c r="G554" s="3"/>
      <c r="H554" s="3"/>
      <c r="I554" s="124"/>
      <c r="J554" s="3"/>
      <c r="K554" s="104"/>
      <c r="L554" s="104"/>
      <c r="M554" s="104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124"/>
      <c r="F555" s="104"/>
      <c r="G555" s="3"/>
      <c r="H555" s="3"/>
      <c r="I555" s="124"/>
      <c r="J555" s="3"/>
      <c r="K555" s="104"/>
      <c r="L555" s="104"/>
      <c r="M555" s="104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124"/>
      <c r="F556" s="104"/>
      <c r="G556" s="3"/>
      <c r="H556" s="3"/>
      <c r="I556" s="124"/>
      <c r="J556" s="3"/>
      <c r="K556" s="104"/>
      <c r="L556" s="104"/>
      <c r="M556" s="104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124"/>
      <c r="F557" s="104"/>
      <c r="G557" s="3"/>
      <c r="H557" s="3"/>
      <c r="I557" s="124"/>
      <c r="J557" s="3"/>
      <c r="K557" s="104"/>
      <c r="L557" s="104"/>
      <c r="M557" s="104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124"/>
      <c r="F558" s="104"/>
      <c r="G558" s="3"/>
      <c r="H558" s="3"/>
      <c r="I558" s="124"/>
      <c r="J558" s="3"/>
      <c r="K558" s="104"/>
      <c r="L558" s="104"/>
      <c r="M558" s="104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124"/>
      <c r="F559" s="104"/>
      <c r="G559" s="3"/>
      <c r="H559" s="3"/>
      <c r="I559" s="124"/>
      <c r="J559" s="3"/>
      <c r="K559" s="104"/>
      <c r="L559" s="104"/>
      <c r="M559" s="104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124"/>
      <c r="F560" s="104"/>
      <c r="G560" s="3"/>
      <c r="H560" s="3"/>
      <c r="I560" s="124"/>
      <c r="J560" s="3"/>
      <c r="K560" s="104"/>
      <c r="L560" s="104"/>
      <c r="M560" s="104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124"/>
      <c r="F561" s="104"/>
      <c r="G561" s="3"/>
      <c r="H561" s="3"/>
      <c r="I561" s="124"/>
      <c r="J561" s="3"/>
      <c r="K561" s="104"/>
      <c r="L561" s="104"/>
      <c r="M561" s="104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124"/>
      <c r="F562" s="104"/>
      <c r="G562" s="3"/>
      <c r="H562" s="3"/>
      <c r="I562" s="124"/>
      <c r="J562" s="3"/>
      <c r="K562" s="104"/>
      <c r="L562" s="104"/>
      <c r="M562" s="104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124"/>
      <c r="F563" s="104"/>
      <c r="G563" s="3"/>
      <c r="H563" s="3"/>
      <c r="I563" s="124"/>
      <c r="J563" s="3"/>
      <c r="K563" s="104"/>
      <c r="L563" s="104"/>
      <c r="M563" s="104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124"/>
      <c r="F564" s="104"/>
      <c r="G564" s="3"/>
      <c r="H564" s="3"/>
      <c r="I564" s="124"/>
      <c r="J564" s="3"/>
      <c r="K564" s="104"/>
      <c r="L564" s="104"/>
      <c r="M564" s="104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124"/>
      <c r="F565" s="104"/>
      <c r="G565" s="3"/>
      <c r="H565" s="3"/>
      <c r="I565" s="124"/>
      <c r="J565" s="3"/>
      <c r="K565" s="104"/>
      <c r="L565" s="104"/>
      <c r="M565" s="104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124"/>
      <c r="F566" s="104"/>
      <c r="G566" s="3"/>
      <c r="H566" s="3"/>
      <c r="I566" s="124"/>
      <c r="J566" s="3"/>
      <c r="K566" s="104"/>
      <c r="L566" s="104"/>
      <c r="M566" s="104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124"/>
      <c r="F567" s="104"/>
      <c r="G567" s="3"/>
      <c r="H567" s="3"/>
      <c r="I567" s="124"/>
      <c r="J567" s="3"/>
      <c r="K567" s="104"/>
      <c r="L567" s="104"/>
      <c r="M567" s="104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124"/>
      <c r="F568" s="104"/>
      <c r="G568" s="3"/>
      <c r="H568" s="3"/>
      <c r="I568" s="124"/>
      <c r="J568" s="3"/>
      <c r="K568" s="104"/>
      <c r="L568" s="104"/>
      <c r="M568" s="104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124"/>
      <c r="F569" s="104"/>
      <c r="G569" s="3"/>
      <c r="H569" s="3"/>
      <c r="I569" s="124"/>
      <c r="J569" s="3"/>
      <c r="K569" s="104"/>
      <c r="L569" s="104"/>
      <c r="M569" s="104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124"/>
      <c r="F570" s="104"/>
      <c r="G570" s="3"/>
      <c r="H570" s="3"/>
      <c r="I570" s="124"/>
      <c r="J570" s="3"/>
      <c r="K570" s="104"/>
      <c r="L570" s="104"/>
      <c r="M570" s="104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124"/>
      <c r="F571" s="104"/>
      <c r="G571" s="3"/>
      <c r="H571" s="3"/>
      <c r="I571" s="124"/>
      <c r="J571" s="3"/>
      <c r="K571" s="104"/>
      <c r="L571" s="104"/>
      <c r="M571" s="104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124"/>
      <c r="F572" s="104"/>
      <c r="G572" s="3"/>
      <c r="H572" s="3"/>
      <c r="I572" s="124"/>
      <c r="J572" s="3"/>
      <c r="K572" s="104"/>
      <c r="L572" s="104"/>
      <c r="M572" s="104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124"/>
      <c r="F573" s="104"/>
      <c r="G573" s="3"/>
      <c r="H573" s="3"/>
      <c r="I573" s="124"/>
      <c r="J573" s="3"/>
      <c r="K573" s="104"/>
      <c r="L573" s="104"/>
      <c r="M573" s="104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124"/>
      <c r="F574" s="104"/>
      <c r="G574" s="3"/>
      <c r="H574" s="3"/>
      <c r="I574" s="124"/>
      <c r="J574" s="3"/>
      <c r="K574" s="104"/>
      <c r="L574" s="104"/>
      <c r="M574" s="104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124"/>
      <c r="F575" s="104"/>
      <c r="G575" s="3"/>
      <c r="H575" s="3"/>
      <c r="I575" s="124"/>
      <c r="J575" s="3"/>
      <c r="K575" s="104"/>
      <c r="L575" s="104"/>
      <c r="M575" s="104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124"/>
      <c r="F576" s="104"/>
      <c r="G576" s="3"/>
      <c r="H576" s="3"/>
      <c r="I576" s="124"/>
      <c r="J576" s="3"/>
      <c r="K576" s="104"/>
      <c r="L576" s="104"/>
      <c r="M576" s="104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124"/>
      <c r="F577" s="104"/>
      <c r="G577" s="3"/>
      <c r="H577" s="3"/>
      <c r="I577" s="124"/>
      <c r="J577" s="3"/>
      <c r="K577" s="104"/>
      <c r="L577" s="104"/>
      <c r="M577" s="104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124"/>
      <c r="F578" s="104"/>
      <c r="G578" s="3"/>
      <c r="H578" s="3"/>
      <c r="I578" s="124"/>
      <c r="J578" s="3"/>
      <c r="K578" s="104"/>
      <c r="L578" s="104"/>
      <c r="M578" s="104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124"/>
      <c r="F579" s="104"/>
      <c r="G579" s="3"/>
      <c r="H579" s="3"/>
      <c r="I579" s="124"/>
      <c r="J579" s="3"/>
      <c r="K579" s="104"/>
      <c r="L579" s="104"/>
      <c r="M579" s="104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124"/>
      <c r="F580" s="104"/>
      <c r="G580" s="3"/>
      <c r="H580" s="3"/>
      <c r="I580" s="124"/>
      <c r="J580" s="3"/>
      <c r="K580" s="104"/>
      <c r="L580" s="104"/>
      <c r="M580" s="104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124"/>
      <c r="F581" s="104"/>
      <c r="G581" s="3"/>
      <c r="H581" s="3"/>
      <c r="I581" s="124"/>
      <c r="J581" s="3"/>
      <c r="K581" s="104"/>
      <c r="L581" s="104"/>
      <c r="M581" s="104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124"/>
      <c r="F582" s="104"/>
      <c r="G582" s="3"/>
      <c r="H582" s="3"/>
      <c r="I582" s="124"/>
      <c r="J582" s="3"/>
      <c r="K582" s="104"/>
      <c r="L582" s="104"/>
      <c r="M582" s="104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124"/>
      <c r="F583" s="104"/>
      <c r="G583" s="3"/>
      <c r="H583" s="3"/>
      <c r="I583" s="124"/>
      <c r="J583" s="3"/>
      <c r="K583" s="104"/>
      <c r="L583" s="104"/>
      <c r="M583" s="104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124"/>
      <c r="F584" s="104"/>
      <c r="G584" s="3"/>
      <c r="H584" s="3"/>
      <c r="I584" s="124"/>
      <c r="J584" s="3"/>
      <c r="K584" s="104"/>
      <c r="L584" s="104"/>
      <c r="M584" s="104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124"/>
      <c r="F585" s="104"/>
      <c r="G585" s="3"/>
      <c r="H585" s="3"/>
      <c r="I585" s="124"/>
      <c r="J585" s="3"/>
      <c r="K585" s="104"/>
      <c r="L585" s="104"/>
      <c r="M585" s="104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124"/>
      <c r="F586" s="104"/>
      <c r="G586" s="3"/>
      <c r="H586" s="3"/>
      <c r="I586" s="124"/>
      <c r="J586" s="3"/>
      <c r="K586" s="104"/>
      <c r="L586" s="104"/>
      <c r="M586" s="104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124"/>
      <c r="F587" s="104"/>
      <c r="G587" s="3"/>
      <c r="H587" s="3"/>
      <c r="I587" s="124"/>
      <c r="J587" s="3"/>
      <c r="K587" s="104"/>
      <c r="L587" s="104"/>
      <c r="M587" s="104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124"/>
      <c r="F588" s="104"/>
      <c r="G588" s="3"/>
      <c r="H588" s="3"/>
      <c r="I588" s="124"/>
      <c r="J588" s="3"/>
      <c r="K588" s="104"/>
      <c r="L588" s="104"/>
      <c r="M588" s="104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124"/>
      <c r="F589" s="104"/>
      <c r="G589" s="3"/>
      <c r="H589" s="3"/>
      <c r="I589" s="124"/>
      <c r="J589" s="3"/>
      <c r="K589" s="104"/>
      <c r="L589" s="104"/>
      <c r="M589" s="104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124"/>
      <c r="F590" s="104"/>
      <c r="G590" s="3"/>
      <c r="H590" s="3"/>
      <c r="I590" s="124"/>
      <c r="J590" s="3"/>
      <c r="K590" s="104"/>
      <c r="L590" s="104"/>
      <c r="M590" s="104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124"/>
      <c r="F591" s="104"/>
      <c r="G591" s="3"/>
      <c r="H591" s="3"/>
      <c r="I591" s="124"/>
      <c r="J591" s="3"/>
      <c r="K591" s="104"/>
      <c r="L591" s="104"/>
      <c r="M591" s="104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124"/>
      <c r="F592" s="104"/>
      <c r="G592" s="3"/>
      <c r="H592" s="3"/>
      <c r="I592" s="124"/>
      <c r="J592" s="3"/>
      <c r="K592" s="104"/>
      <c r="L592" s="104"/>
      <c r="M592" s="104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124"/>
      <c r="F593" s="104"/>
      <c r="G593" s="3"/>
      <c r="H593" s="3"/>
      <c r="I593" s="124"/>
      <c r="J593" s="3"/>
      <c r="K593" s="104"/>
      <c r="L593" s="104"/>
      <c r="M593" s="104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124"/>
      <c r="F594" s="104"/>
      <c r="G594" s="3"/>
      <c r="H594" s="3"/>
      <c r="I594" s="124"/>
      <c r="J594" s="3"/>
      <c r="K594" s="104"/>
      <c r="L594" s="104"/>
      <c r="M594" s="104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124"/>
      <c r="F595" s="104"/>
      <c r="G595" s="3"/>
      <c r="H595" s="3"/>
      <c r="I595" s="124"/>
      <c r="J595" s="3"/>
      <c r="K595" s="104"/>
      <c r="L595" s="104"/>
      <c r="M595" s="104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124"/>
      <c r="F596" s="104"/>
      <c r="G596" s="3"/>
      <c r="H596" s="3"/>
      <c r="I596" s="124"/>
      <c r="J596" s="3"/>
      <c r="K596" s="104"/>
      <c r="L596" s="104"/>
      <c r="M596" s="104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124"/>
      <c r="F597" s="104"/>
      <c r="G597" s="3"/>
      <c r="H597" s="3"/>
      <c r="I597" s="124"/>
      <c r="J597" s="3"/>
      <c r="K597" s="104"/>
      <c r="L597" s="104"/>
      <c r="M597" s="104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124"/>
      <c r="F598" s="104"/>
      <c r="G598" s="3"/>
      <c r="H598" s="3"/>
      <c r="I598" s="124"/>
      <c r="J598" s="3"/>
      <c r="K598" s="104"/>
      <c r="L598" s="104"/>
      <c r="M598" s="104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124"/>
      <c r="F599" s="104"/>
      <c r="G599" s="3"/>
      <c r="H599" s="3"/>
      <c r="I599" s="124"/>
      <c r="J599" s="3"/>
      <c r="K599" s="104"/>
      <c r="L599" s="104"/>
      <c r="M599" s="104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124"/>
      <c r="F600" s="104"/>
      <c r="G600" s="3"/>
      <c r="H600" s="3"/>
      <c r="I600" s="124"/>
      <c r="J600" s="3"/>
      <c r="K600" s="104"/>
      <c r="L600" s="104"/>
      <c r="M600" s="104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124"/>
      <c r="F601" s="104"/>
      <c r="G601" s="3"/>
      <c r="H601" s="3"/>
      <c r="I601" s="124"/>
      <c r="J601" s="3"/>
      <c r="K601" s="104"/>
      <c r="L601" s="104"/>
      <c r="M601" s="104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124"/>
      <c r="F602" s="104"/>
      <c r="G602" s="3"/>
      <c r="H602" s="3"/>
      <c r="I602" s="124"/>
      <c r="J602" s="3"/>
      <c r="K602" s="104"/>
      <c r="L602" s="104"/>
      <c r="M602" s="104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124"/>
      <c r="F603" s="104"/>
      <c r="G603" s="3"/>
      <c r="H603" s="3"/>
      <c r="I603" s="124"/>
      <c r="J603" s="3"/>
      <c r="K603" s="104"/>
      <c r="L603" s="104"/>
      <c r="M603" s="104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124"/>
      <c r="F604" s="104"/>
      <c r="G604" s="3"/>
      <c r="H604" s="3"/>
      <c r="I604" s="124"/>
      <c r="J604" s="3"/>
      <c r="K604" s="104"/>
      <c r="L604" s="104"/>
      <c r="M604" s="104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124"/>
      <c r="F605" s="104"/>
      <c r="G605" s="3"/>
      <c r="H605" s="3"/>
      <c r="I605" s="124"/>
      <c r="J605" s="3"/>
      <c r="K605" s="104"/>
      <c r="L605" s="104"/>
      <c r="M605" s="104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124"/>
      <c r="F606" s="104"/>
      <c r="G606" s="3"/>
      <c r="H606" s="3"/>
      <c r="I606" s="124"/>
      <c r="J606" s="3"/>
      <c r="K606" s="104"/>
      <c r="L606" s="104"/>
      <c r="M606" s="104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124"/>
      <c r="F607" s="104"/>
      <c r="G607" s="3"/>
      <c r="H607" s="3"/>
      <c r="I607" s="124"/>
      <c r="J607" s="3"/>
      <c r="K607" s="104"/>
      <c r="L607" s="104"/>
      <c r="M607" s="104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124"/>
      <c r="F608" s="104"/>
      <c r="G608" s="3"/>
      <c r="H608" s="3"/>
      <c r="I608" s="124"/>
      <c r="J608" s="3"/>
      <c r="K608" s="104"/>
      <c r="L608" s="104"/>
      <c r="M608" s="104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124"/>
      <c r="F609" s="104"/>
      <c r="G609" s="3"/>
      <c r="H609" s="3"/>
      <c r="I609" s="124"/>
      <c r="J609" s="3"/>
      <c r="K609" s="104"/>
      <c r="L609" s="104"/>
      <c r="M609" s="104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124"/>
      <c r="F610" s="104"/>
      <c r="G610" s="3"/>
      <c r="H610" s="3"/>
      <c r="I610" s="124"/>
      <c r="J610" s="3"/>
      <c r="K610" s="104"/>
      <c r="L610" s="104"/>
      <c r="M610" s="104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124"/>
      <c r="F611" s="104"/>
      <c r="G611" s="3"/>
      <c r="H611" s="3"/>
      <c r="I611" s="124"/>
      <c r="J611" s="3"/>
      <c r="K611" s="104"/>
      <c r="L611" s="104"/>
      <c r="M611" s="104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124"/>
      <c r="F612" s="104"/>
      <c r="G612" s="3"/>
      <c r="H612" s="3"/>
      <c r="I612" s="124"/>
      <c r="J612" s="3"/>
      <c r="K612" s="104"/>
      <c r="L612" s="104"/>
      <c r="M612" s="104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124"/>
      <c r="F613" s="104"/>
      <c r="G613" s="3"/>
      <c r="H613" s="3"/>
      <c r="I613" s="124"/>
      <c r="J613" s="3"/>
      <c r="K613" s="104"/>
      <c r="L613" s="104"/>
      <c r="M613" s="104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124"/>
      <c r="F614" s="104"/>
      <c r="G614" s="3"/>
      <c r="H614" s="3"/>
      <c r="I614" s="124"/>
      <c r="J614" s="3"/>
      <c r="K614" s="104"/>
      <c r="L614" s="104"/>
      <c r="M614" s="104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124"/>
      <c r="F615" s="104"/>
      <c r="G615" s="3"/>
      <c r="H615" s="3"/>
      <c r="I615" s="124"/>
      <c r="J615" s="3"/>
      <c r="K615" s="104"/>
      <c r="L615" s="104"/>
      <c r="M615" s="104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124"/>
      <c r="F616" s="104"/>
      <c r="G616" s="3"/>
      <c r="H616" s="3"/>
      <c r="I616" s="124"/>
      <c r="J616" s="3"/>
      <c r="K616" s="104"/>
      <c r="L616" s="104"/>
      <c r="M616" s="104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124"/>
      <c r="F617" s="104"/>
      <c r="G617" s="3"/>
      <c r="H617" s="3"/>
      <c r="I617" s="124"/>
      <c r="J617" s="3"/>
      <c r="K617" s="104"/>
      <c r="L617" s="104"/>
      <c r="M617" s="104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124"/>
      <c r="F618" s="104"/>
      <c r="G618" s="3"/>
      <c r="H618" s="3"/>
      <c r="I618" s="124"/>
      <c r="J618" s="3"/>
      <c r="K618" s="104"/>
      <c r="L618" s="104"/>
      <c r="M618" s="104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124"/>
      <c r="F619" s="104"/>
      <c r="G619" s="3"/>
      <c r="H619" s="3"/>
      <c r="I619" s="124"/>
      <c r="J619" s="3"/>
      <c r="K619" s="104"/>
      <c r="L619" s="104"/>
      <c r="M619" s="104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124"/>
      <c r="F620" s="104"/>
      <c r="G620" s="3"/>
      <c r="H620" s="3"/>
      <c r="I620" s="124"/>
      <c r="J620" s="3"/>
      <c r="K620" s="104"/>
      <c r="L620" s="104"/>
      <c r="M620" s="104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124"/>
      <c r="F621" s="104"/>
      <c r="G621" s="3"/>
      <c r="H621" s="3"/>
      <c r="I621" s="124"/>
      <c r="J621" s="3"/>
      <c r="K621" s="104"/>
      <c r="L621" s="104"/>
      <c r="M621" s="104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124"/>
      <c r="F622" s="104"/>
      <c r="G622" s="3"/>
      <c r="H622" s="3"/>
      <c r="I622" s="124"/>
      <c r="J622" s="3"/>
      <c r="K622" s="104"/>
      <c r="L622" s="104"/>
      <c r="M622" s="104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124"/>
      <c r="F623" s="104"/>
      <c r="G623" s="3"/>
      <c r="H623" s="3"/>
      <c r="I623" s="124"/>
      <c r="J623" s="3"/>
      <c r="K623" s="104"/>
      <c r="L623" s="104"/>
      <c r="M623" s="104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124"/>
      <c r="F624" s="104"/>
      <c r="G624" s="3"/>
      <c r="H624" s="3"/>
      <c r="I624" s="124"/>
      <c r="J624" s="3"/>
      <c r="K624" s="104"/>
      <c r="L624" s="104"/>
      <c r="M624" s="104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124"/>
      <c r="F625" s="104"/>
      <c r="G625" s="3"/>
      <c r="H625" s="3"/>
      <c r="I625" s="124"/>
      <c r="J625" s="3"/>
      <c r="K625" s="104"/>
      <c r="L625" s="104"/>
      <c r="M625" s="104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124"/>
      <c r="F626" s="104"/>
      <c r="G626" s="3"/>
      <c r="H626" s="3"/>
      <c r="I626" s="124"/>
      <c r="J626" s="3"/>
      <c r="K626" s="104"/>
      <c r="L626" s="104"/>
      <c r="M626" s="104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124"/>
      <c r="F627" s="104"/>
      <c r="G627" s="3"/>
      <c r="H627" s="3"/>
      <c r="I627" s="124"/>
      <c r="J627" s="3"/>
      <c r="K627" s="104"/>
      <c r="L627" s="104"/>
      <c r="M627" s="104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124"/>
      <c r="F628" s="104"/>
      <c r="G628" s="3"/>
      <c r="H628" s="3"/>
      <c r="I628" s="124"/>
      <c r="J628" s="3"/>
      <c r="K628" s="104"/>
      <c r="L628" s="104"/>
      <c r="M628" s="104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124"/>
      <c r="F629" s="104"/>
      <c r="G629" s="3"/>
      <c r="H629" s="3"/>
      <c r="I629" s="124"/>
      <c r="J629" s="3"/>
      <c r="K629" s="104"/>
      <c r="L629" s="104"/>
      <c r="M629" s="104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124"/>
      <c r="F630" s="104"/>
      <c r="G630" s="3"/>
      <c r="H630" s="3"/>
      <c r="I630" s="124"/>
      <c r="J630" s="3"/>
      <c r="K630" s="104"/>
      <c r="L630" s="104"/>
      <c r="M630" s="104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124"/>
      <c r="F631" s="104"/>
      <c r="G631" s="3"/>
      <c r="H631" s="3"/>
      <c r="I631" s="124"/>
      <c r="J631" s="3"/>
      <c r="K631" s="104"/>
      <c r="L631" s="104"/>
      <c r="M631" s="104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124"/>
      <c r="F632" s="104"/>
      <c r="G632" s="3"/>
      <c r="H632" s="3"/>
      <c r="I632" s="124"/>
      <c r="J632" s="3"/>
      <c r="K632" s="104"/>
      <c r="L632" s="104"/>
      <c r="M632" s="104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124"/>
      <c r="F633" s="104"/>
      <c r="G633" s="3"/>
      <c r="H633" s="3"/>
      <c r="I633" s="124"/>
      <c r="J633" s="3"/>
      <c r="K633" s="104"/>
      <c r="L633" s="104"/>
      <c r="M633" s="104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124"/>
      <c r="F634" s="104"/>
      <c r="G634" s="3"/>
      <c r="H634" s="3"/>
      <c r="I634" s="124"/>
      <c r="J634" s="3"/>
      <c r="K634" s="104"/>
      <c r="L634" s="104"/>
      <c r="M634" s="104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124"/>
      <c r="F635" s="104"/>
      <c r="G635" s="3"/>
      <c r="H635" s="3"/>
      <c r="I635" s="124"/>
      <c r="J635" s="3"/>
      <c r="K635" s="104"/>
      <c r="L635" s="104"/>
      <c r="M635" s="104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124"/>
      <c r="F636" s="104"/>
      <c r="G636" s="3"/>
      <c r="H636" s="3"/>
      <c r="I636" s="124"/>
      <c r="J636" s="3"/>
      <c r="K636" s="104"/>
      <c r="L636" s="104"/>
      <c r="M636" s="104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124"/>
      <c r="F637" s="104"/>
      <c r="G637" s="3"/>
      <c r="H637" s="3"/>
      <c r="I637" s="124"/>
      <c r="J637" s="3"/>
      <c r="K637" s="104"/>
      <c r="L637" s="104"/>
      <c r="M637" s="104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124"/>
      <c r="F638" s="104"/>
      <c r="G638" s="3"/>
      <c r="H638" s="3"/>
      <c r="I638" s="124"/>
      <c r="J638" s="3"/>
      <c r="K638" s="104"/>
      <c r="L638" s="104"/>
      <c r="M638" s="104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124"/>
      <c r="F639" s="104"/>
      <c r="G639" s="3"/>
      <c r="H639" s="3"/>
      <c r="I639" s="124"/>
      <c r="J639" s="3"/>
      <c r="K639" s="104"/>
      <c r="L639" s="104"/>
      <c r="M639" s="104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124"/>
      <c r="F640" s="104"/>
      <c r="G640" s="3"/>
      <c r="H640" s="3"/>
      <c r="I640" s="124"/>
      <c r="J640" s="3"/>
      <c r="K640" s="104"/>
      <c r="L640" s="104"/>
      <c r="M640" s="104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124"/>
      <c r="F641" s="104"/>
      <c r="G641" s="3"/>
      <c r="H641" s="3"/>
      <c r="I641" s="124"/>
      <c r="J641" s="3"/>
      <c r="K641" s="104"/>
      <c r="L641" s="104"/>
      <c r="M641" s="104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124"/>
      <c r="F642" s="104"/>
      <c r="G642" s="3"/>
      <c r="H642" s="3"/>
      <c r="I642" s="124"/>
      <c r="J642" s="3"/>
      <c r="K642" s="104"/>
      <c r="L642" s="104"/>
      <c r="M642" s="104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124"/>
      <c r="F643" s="104"/>
      <c r="G643" s="3"/>
      <c r="H643" s="3"/>
      <c r="I643" s="124"/>
      <c r="J643" s="3"/>
      <c r="K643" s="104"/>
      <c r="L643" s="104"/>
      <c r="M643" s="104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124"/>
      <c r="F644" s="104"/>
      <c r="G644" s="3"/>
      <c r="H644" s="3"/>
      <c r="I644" s="124"/>
      <c r="J644" s="3"/>
      <c r="K644" s="104"/>
      <c r="L644" s="104"/>
      <c r="M644" s="104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124"/>
      <c r="F645" s="104"/>
      <c r="G645" s="3"/>
      <c r="H645" s="3"/>
      <c r="I645" s="124"/>
      <c r="J645" s="3"/>
      <c r="K645" s="104"/>
      <c r="L645" s="104"/>
      <c r="M645" s="104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124"/>
      <c r="F646" s="104"/>
      <c r="G646" s="3"/>
      <c r="H646" s="3"/>
      <c r="I646" s="124"/>
      <c r="J646" s="3"/>
      <c r="K646" s="104"/>
      <c r="L646" s="104"/>
      <c r="M646" s="104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124"/>
      <c r="F647" s="104"/>
      <c r="G647" s="3"/>
      <c r="H647" s="3"/>
      <c r="I647" s="124"/>
      <c r="J647" s="3"/>
      <c r="K647" s="104"/>
      <c r="L647" s="104"/>
      <c r="M647" s="104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124"/>
      <c r="F648" s="104"/>
      <c r="G648" s="3"/>
      <c r="H648" s="3"/>
      <c r="I648" s="124"/>
      <c r="J648" s="3"/>
      <c r="K648" s="104"/>
      <c r="L648" s="104"/>
      <c r="M648" s="104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124"/>
      <c r="F649" s="104"/>
      <c r="G649" s="3"/>
      <c r="H649" s="3"/>
      <c r="I649" s="124"/>
      <c r="J649" s="3"/>
      <c r="K649" s="104"/>
      <c r="L649" s="104"/>
      <c r="M649" s="104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124"/>
      <c r="F650" s="104"/>
      <c r="G650" s="3"/>
      <c r="H650" s="3"/>
      <c r="I650" s="124"/>
      <c r="J650" s="3"/>
      <c r="K650" s="104"/>
      <c r="L650" s="104"/>
      <c r="M650" s="104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124"/>
      <c r="F651" s="104"/>
      <c r="G651" s="3"/>
      <c r="H651" s="3"/>
      <c r="I651" s="124"/>
      <c r="J651" s="3"/>
      <c r="K651" s="104"/>
      <c r="L651" s="104"/>
      <c r="M651" s="104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124"/>
      <c r="F652" s="104"/>
      <c r="G652" s="3"/>
      <c r="H652" s="3"/>
      <c r="I652" s="124"/>
      <c r="J652" s="3"/>
      <c r="K652" s="104"/>
      <c r="L652" s="104"/>
      <c r="M652" s="104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124"/>
      <c r="F653" s="104"/>
      <c r="G653" s="3"/>
      <c r="H653" s="3"/>
      <c r="I653" s="124"/>
      <c r="J653" s="3"/>
      <c r="K653" s="104"/>
      <c r="L653" s="104"/>
      <c r="M653" s="104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124"/>
      <c r="F654" s="104"/>
      <c r="G654" s="3"/>
      <c r="H654" s="3"/>
      <c r="I654" s="124"/>
      <c r="J654" s="3"/>
      <c r="K654" s="104"/>
      <c r="L654" s="104"/>
      <c r="M654" s="104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124"/>
      <c r="F655" s="104"/>
      <c r="G655" s="3"/>
      <c r="H655" s="3"/>
      <c r="I655" s="124"/>
      <c r="J655" s="3"/>
      <c r="K655" s="104"/>
      <c r="L655" s="104"/>
      <c r="M655" s="104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124"/>
      <c r="F656" s="104"/>
      <c r="G656" s="3"/>
      <c r="H656" s="3"/>
      <c r="I656" s="124"/>
      <c r="J656" s="3"/>
      <c r="K656" s="104"/>
      <c r="L656" s="104"/>
      <c r="M656" s="104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124"/>
      <c r="F657" s="104"/>
      <c r="G657" s="3"/>
      <c r="H657" s="3"/>
      <c r="I657" s="124"/>
      <c r="J657" s="3"/>
      <c r="K657" s="104"/>
      <c r="L657" s="104"/>
      <c r="M657" s="104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124"/>
      <c r="F658" s="104"/>
      <c r="G658" s="3"/>
      <c r="H658" s="3"/>
      <c r="I658" s="124"/>
      <c r="J658" s="3"/>
      <c r="K658" s="104"/>
      <c r="L658" s="104"/>
      <c r="M658" s="104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124"/>
      <c r="F659" s="104"/>
      <c r="G659" s="3"/>
      <c r="H659" s="3"/>
      <c r="I659" s="124"/>
      <c r="J659" s="3"/>
      <c r="K659" s="104"/>
      <c r="L659" s="104"/>
      <c r="M659" s="104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124"/>
      <c r="F660" s="104"/>
      <c r="G660" s="3"/>
      <c r="H660" s="3"/>
      <c r="I660" s="124"/>
      <c r="J660" s="3"/>
      <c r="K660" s="104"/>
      <c r="L660" s="104"/>
      <c r="M660" s="104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124"/>
      <c r="F661" s="104"/>
      <c r="G661" s="3"/>
      <c r="H661" s="3"/>
      <c r="I661" s="124"/>
      <c r="J661" s="3"/>
      <c r="K661" s="104"/>
      <c r="L661" s="104"/>
      <c r="M661" s="104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124"/>
      <c r="F662" s="104"/>
      <c r="G662" s="3"/>
      <c r="H662" s="3"/>
      <c r="I662" s="124"/>
      <c r="J662" s="3"/>
      <c r="K662" s="104"/>
      <c r="L662" s="104"/>
      <c r="M662" s="104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124"/>
      <c r="F663" s="104"/>
      <c r="G663" s="3"/>
      <c r="H663" s="3"/>
      <c r="I663" s="124"/>
      <c r="J663" s="3"/>
      <c r="K663" s="104"/>
      <c r="L663" s="104"/>
      <c r="M663" s="104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124"/>
      <c r="F664" s="104"/>
      <c r="G664" s="3"/>
      <c r="H664" s="3"/>
      <c r="I664" s="124"/>
      <c r="J664" s="3"/>
      <c r="K664" s="104"/>
      <c r="L664" s="104"/>
      <c r="M664" s="104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124"/>
      <c r="F665" s="104"/>
      <c r="G665" s="3"/>
      <c r="H665" s="3"/>
      <c r="I665" s="124"/>
      <c r="J665" s="3"/>
      <c r="K665" s="104"/>
      <c r="L665" s="104"/>
      <c r="M665" s="104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124"/>
      <c r="F666" s="104"/>
      <c r="G666" s="3"/>
      <c r="H666" s="3"/>
      <c r="I666" s="124"/>
      <c r="J666" s="3"/>
      <c r="K666" s="104"/>
      <c r="L666" s="104"/>
      <c r="M666" s="104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124"/>
      <c r="F667" s="104"/>
      <c r="G667" s="3"/>
      <c r="H667" s="3"/>
      <c r="I667" s="124"/>
      <c r="J667" s="3"/>
      <c r="K667" s="104"/>
      <c r="L667" s="104"/>
      <c r="M667" s="104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124"/>
      <c r="F668" s="104"/>
      <c r="G668" s="3"/>
      <c r="H668" s="3"/>
      <c r="I668" s="124"/>
      <c r="J668" s="3"/>
      <c r="K668" s="104"/>
      <c r="L668" s="104"/>
      <c r="M668" s="104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124"/>
      <c r="F669" s="104"/>
      <c r="G669" s="3"/>
      <c r="H669" s="3"/>
      <c r="I669" s="124"/>
      <c r="J669" s="3"/>
      <c r="K669" s="104"/>
      <c r="L669" s="104"/>
      <c r="M669" s="104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124"/>
      <c r="F670" s="104"/>
      <c r="G670" s="3"/>
      <c r="H670" s="3"/>
      <c r="I670" s="124"/>
      <c r="J670" s="3"/>
      <c r="K670" s="104"/>
      <c r="L670" s="104"/>
      <c r="M670" s="104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124"/>
      <c r="F671" s="104"/>
      <c r="G671" s="3"/>
      <c r="H671" s="3"/>
      <c r="I671" s="124"/>
      <c r="J671" s="3"/>
      <c r="K671" s="104"/>
      <c r="L671" s="104"/>
      <c r="M671" s="104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124"/>
      <c r="F672" s="104"/>
      <c r="G672" s="3"/>
      <c r="H672" s="3"/>
      <c r="I672" s="124"/>
      <c r="J672" s="3"/>
      <c r="K672" s="104"/>
      <c r="L672" s="104"/>
      <c r="M672" s="104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124"/>
      <c r="F673" s="104"/>
      <c r="G673" s="3"/>
      <c r="H673" s="3"/>
      <c r="I673" s="124"/>
      <c r="J673" s="3"/>
      <c r="K673" s="104"/>
      <c r="L673" s="104"/>
      <c r="M673" s="104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124"/>
      <c r="F674" s="104"/>
      <c r="G674" s="3"/>
      <c r="H674" s="3"/>
      <c r="I674" s="124"/>
      <c r="J674" s="3"/>
      <c r="K674" s="104"/>
      <c r="L674" s="104"/>
      <c r="M674" s="104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124"/>
      <c r="F675" s="104"/>
      <c r="G675" s="3"/>
      <c r="H675" s="3"/>
      <c r="I675" s="124"/>
      <c r="J675" s="3"/>
      <c r="K675" s="104"/>
      <c r="L675" s="104"/>
      <c r="M675" s="104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124"/>
      <c r="F676" s="104"/>
      <c r="G676" s="3"/>
      <c r="H676" s="3"/>
      <c r="I676" s="124"/>
      <c r="J676" s="3"/>
      <c r="K676" s="104"/>
      <c r="L676" s="104"/>
      <c r="M676" s="104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124"/>
      <c r="F677" s="104"/>
      <c r="G677" s="3"/>
      <c r="H677" s="3"/>
      <c r="I677" s="124"/>
      <c r="J677" s="3"/>
      <c r="K677" s="104"/>
      <c r="L677" s="104"/>
      <c r="M677" s="104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124"/>
      <c r="F678" s="104"/>
      <c r="G678" s="3"/>
      <c r="H678" s="3"/>
      <c r="I678" s="124"/>
      <c r="J678" s="3"/>
      <c r="K678" s="104"/>
      <c r="L678" s="104"/>
      <c r="M678" s="104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124"/>
      <c r="F679" s="104"/>
      <c r="G679" s="3"/>
      <c r="H679" s="3"/>
      <c r="I679" s="124"/>
      <c r="J679" s="3"/>
      <c r="K679" s="104"/>
      <c r="L679" s="104"/>
      <c r="M679" s="104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124"/>
      <c r="F680" s="104"/>
      <c r="G680" s="3"/>
      <c r="H680" s="3"/>
      <c r="I680" s="124"/>
      <c r="J680" s="3"/>
      <c r="K680" s="104"/>
      <c r="L680" s="104"/>
      <c r="M680" s="104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124"/>
      <c r="F681" s="104"/>
      <c r="G681" s="3"/>
      <c r="H681" s="3"/>
      <c r="I681" s="124"/>
      <c r="J681" s="3"/>
      <c r="K681" s="104"/>
      <c r="L681" s="104"/>
      <c r="M681" s="104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124"/>
      <c r="F682" s="104"/>
      <c r="G682" s="3"/>
      <c r="H682" s="3"/>
      <c r="I682" s="124"/>
      <c r="J682" s="3"/>
      <c r="K682" s="104"/>
      <c r="L682" s="104"/>
      <c r="M682" s="104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124"/>
      <c r="F683" s="104"/>
      <c r="G683" s="3"/>
      <c r="H683" s="3"/>
      <c r="I683" s="124"/>
      <c r="J683" s="3"/>
      <c r="K683" s="104"/>
      <c r="L683" s="104"/>
      <c r="M683" s="104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124"/>
      <c r="F684" s="104"/>
      <c r="G684" s="3"/>
      <c r="H684" s="3"/>
      <c r="I684" s="124"/>
      <c r="J684" s="3"/>
      <c r="K684" s="104"/>
      <c r="L684" s="104"/>
      <c r="M684" s="104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124"/>
      <c r="F685" s="104"/>
      <c r="G685" s="3"/>
      <c r="H685" s="3"/>
      <c r="I685" s="124"/>
      <c r="J685" s="3"/>
      <c r="K685" s="104"/>
      <c r="L685" s="104"/>
      <c r="M685" s="104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124"/>
      <c r="F686" s="104"/>
      <c r="G686" s="3"/>
      <c r="H686" s="3"/>
      <c r="I686" s="124"/>
      <c r="J686" s="3"/>
      <c r="K686" s="104"/>
      <c r="L686" s="104"/>
      <c r="M686" s="104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124"/>
      <c r="F687" s="104"/>
      <c r="G687" s="3"/>
      <c r="H687" s="3"/>
      <c r="I687" s="124"/>
      <c r="J687" s="3"/>
      <c r="K687" s="104"/>
      <c r="L687" s="104"/>
      <c r="M687" s="104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124"/>
      <c r="F688" s="104"/>
      <c r="G688" s="3"/>
      <c r="H688" s="3"/>
      <c r="I688" s="124"/>
      <c r="J688" s="3"/>
      <c r="K688" s="104"/>
      <c r="L688" s="104"/>
      <c r="M688" s="104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124"/>
      <c r="F689" s="104"/>
      <c r="G689" s="3"/>
      <c r="H689" s="3"/>
      <c r="I689" s="124"/>
      <c r="J689" s="3"/>
      <c r="K689" s="104"/>
      <c r="L689" s="104"/>
      <c r="M689" s="104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124"/>
      <c r="F690" s="104"/>
      <c r="G690" s="3"/>
      <c r="H690" s="3"/>
      <c r="I690" s="124"/>
      <c r="J690" s="3"/>
      <c r="K690" s="104"/>
      <c r="L690" s="104"/>
      <c r="M690" s="104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124"/>
      <c r="F691" s="104"/>
      <c r="G691" s="3"/>
      <c r="H691" s="3"/>
      <c r="I691" s="124"/>
      <c r="J691" s="3"/>
      <c r="K691" s="104"/>
      <c r="L691" s="104"/>
      <c r="M691" s="104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124"/>
      <c r="F692" s="104"/>
      <c r="G692" s="3"/>
      <c r="H692" s="3"/>
      <c r="I692" s="124"/>
      <c r="J692" s="3"/>
      <c r="K692" s="104"/>
      <c r="L692" s="104"/>
      <c r="M692" s="104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124"/>
      <c r="F693" s="104"/>
      <c r="G693" s="3"/>
      <c r="H693" s="3"/>
      <c r="I693" s="124"/>
      <c r="J693" s="3"/>
      <c r="K693" s="104"/>
      <c r="L693" s="104"/>
      <c r="M693" s="104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124"/>
      <c r="F694" s="104"/>
      <c r="G694" s="3"/>
      <c r="H694" s="3"/>
      <c r="I694" s="124"/>
      <c r="J694" s="3"/>
      <c r="K694" s="104"/>
      <c r="L694" s="104"/>
      <c r="M694" s="104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124"/>
      <c r="F695" s="104"/>
      <c r="G695" s="3"/>
      <c r="H695" s="3"/>
      <c r="I695" s="124"/>
      <c r="J695" s="3"/>
      <c r="K695" s="104"/>
      <c r="L695" s="104"/>
      <c r="M695" s="104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124"/>
      <c r="F696" s="104"/>
      <c r="G696" s="3"/>
      <c r="H696" s="3"/>
      <c r="I696" s="124"/>
      <c r="J696" s="3"/>
      <c r="K696" s="104"/>
      <c r="L696" s="104"/>
      <c r="M696" s="104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124"/>
      <c r="F697" s="104"/>
      <c r="G697" s="3"/>
      <c r="H697" s="3"/>
      <c r="I697" s="124"/>
      <c r="J697" s="3"/>
      <c r="K697" s="104"/>
      <c r="L697" s="104"/>
      <c r="M697" s="104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124"/>
      <c r="F698" s="104"/>
      <c r="G698" s="3"/>
      <c r="H698" s="3"/>
      <c r="I698" s="124"/>
      <c r="J698" s="3"/>
      <c r="K698" s="104"/>
      <c r="L698" s="104"/>
      <c r="M698" s="104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124"/>
      <c r="F699" s="104"/>
      <c r="G699" s="3"/>
      <c r="H699" s="3"/>
      <c r="I699" s="124"/>
      <c r="J699" s="3"/>
      <c r="K699" s="104"/>
      <c r="L699" s="104"/>
      <c r="M699" s="104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124"/>
      <c r="F700" s="104"/>
      <c r="G700" s="3"/>
      <c r="H700" s="3"/>
      <c r="I700" s="124"/>
      <c r="J700" s="3"/>
      <c r="K700" s="104"/>
      <c r="L700" s="104"/>
      <c r="M700" s="104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124"/>
      <c r="F701" s="104"/>
      <c r="G701" s="3"/>
      <c r="H701" s="3"/>
      <c r="I701" s="124"/>
      <c r="J701" s="3"/>
      <c r="K701" s="104"/>
      <c r="L701" s="104"/>
      <c r="M701" s="104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124"/>
      <c r="F702" s="104"/>
      <c r="G702" s="3"/>
      <c r="H702" s="3"/>
      <c r="I702" s="124"/>
      <c r="J702" s="3"/>
      <c r="K702" s="104"/>
      <c r="L702" s="104"/>
      <c r="M702" s="104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124"/>
      <c r="F703" s="104"/>
      <c r="G703" s="3"/>
      <c r="H703" s="3"/>
      <c r="I703" s="124"/>
      <c r="J703" s="3"/>
      <c r="K703" s="104"/>
      <c r="L703" s="104"/>
      <c r="M703" s="104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124"/>
      <c r="F704" s="104"/>
      <c r="G704" s="3"/>
      <c r="H704" s="3"/>
      <c r="I704" s="124"/>
      <c r="J704" s="3"/>
      <c r="K704" s="104"/>
      <c r="L704" s="104"/>
      <c r="M704" s="104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124"/>
      <c r="F705" s="104"/>
      <c r="G705" s="3"/>
      <c r="H705" s="3"/>
      <c r="I705" s="124"/>
      <c r="J705" s="3"/>
      <c r="K705" s="104"/>
      <c r="L705" s="104"/>
      <c r="M705" s="104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124"/>
      <c r="F706" s="104"/>
      <c r="G706" s="3"/>
      <c r="H706" s="3"/>
      <c r="I706" s="124"/>
      <c r="J706" s="3"/>
      <c r="K706" s="104"/>
      <c r="L706" s="104"/>
      <c r="M706" s="104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124"/>
      <c r="F707" s="104"/>
      <c r="G707" s="3"/>
      <c r="H707" s="3"/>
      <c r="I707" s="124"/>
      <c r="J707" s="3"/>
      <c r="K707" s="104"/>
      <c r="L707" s="104"/>
      <c r="M707" s="104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124"/>
      <c r="F708" s="104"/>
      <c r="G708" s="3"/>
      <c r="H708" s="3"/>
      <c r="I708" s="124"/>
      <c r="J708" s="3"/>
      <c r="K708" s="104"/>
      <c r="L708" s="104"/>
      <c r="M708" s="104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124"/>
      <c r="F709" s="104"/>
      <c r="G709" s="3"/>
      <c r="H709" s="3"/>
      <c r="I709" s="124"/>
      <c r="J709" s="3"/>
      <c r="K709" s="104"/>
      <c r="L709" s="104"/>
      <c r="M709" s="104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124"/>
      <c r="F710" s="104"/>
      <c r="G710" s="3"/>
      <c r="H710" s="3"/>
      <c r="I710" s="124"/>
      <c r="J710" s="3"/>
      <c r="K710" s="104"/>
      <c r="L710" s="104"/>
      <c r="M710" s="104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124"/>
      <c r="F711" s="104"/>
      <c r="G711" s="3"/>
      <c r="H711" s="3"/>
      <c r="I711" s="124"/>
      <c r="J711" s="3"/>
      <c r="K711" s="104"/>
      <c r="L711" s="104"/>
      <c r="M711" s="104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124"/>
      <c r="F712" s="104"/>
      <c r="G712" s="3"/>
      <c r="H712" s="3"/>
      <c r="I712" s="124"/>
      <c r="J712" s="3"/>
      <c r="K712" s="104"/>
      <c r="L712" s="104"/>
      <c r="M712" s="104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124"/>
      <c r="F713" s="104"/>
      <c r="G713" s="3"/>
      <c r="H713" s="3"/>
      <c r="I713" s="124"/>
      <c r="J713" s="3"/>
      <c r="K713" s="104"/>
      <c r="L713" s="104"/>
      <c r="M713" s="104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124"/>
      <c r="F714" s="104"/>
      <c r="G714" s="3"/>
      <c r="H714" s="3"/>
      <c r="I714" s="124"/>
      <c r="J714" s="3"/>
      <c r="K714" s="104"/>
      <c r="L714" s="104"/>
      <c r="M714" s="104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124"/>
      <c r="F715" s="104"/>
      <c r="G715" s="3"/>
      <c r="H715" s="3"/>
      <c r="I715" s="124"/>
      <c r="J715" s="3"/>
      <c r="K715" s="104"/>
      <c r="L715" s="104"/>
      <c r="M715" s="104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124"/>
      <c r="F716" s="104"/>
      <c r="G716" s="3"/>
      <c r="H716" s="3"/>
      <c r="I716" s="124"/>
      <c r="J716" s="3"/>
      <c r="K716" s="104"/>
      <c r="L716" s="104"/>
      <c r="M716" s="104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124"/>
      <c r="F717" s="104"/>
      <c r="G717" s="3"/>
      <c r="H717" s="3"/>
      <c r="I717" s="124"/>
      <c r="J717" s="3"/>
      <c r="K717" s="104"/>
      <c r="L717" s="104"/>
      <c r="M717" s="104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124"/>
      <c r="F718" s="104"/>
      <c r="G718" s="3"/>
      <c r="H718" s="3"/>
      <c r="I718" s="124"/>
      <c r="J718" s="3"/>
      <c r="K718" s="104"/>
      <c r="L718" s="104"/>
      <c r="M718" s="104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124"/>
      <c r="F719" s="104"/>
      <c r="G719" s="3"/>
      <c r="H719" s="3"/>
      <c r="I719" s="124"/>
      <c r="J719" s="3"/>
      <c r="K719" s="104"/>
      <c r="L719" s="104"/>
      <c r="M719" s="104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124"/>
      <c r="F720" s="104"/>
      <c r="G720" s="3"/>
      <c r="H720" s="3"/>
      <c r="I720" s="124"/>
      <c r="J720" s="3"/>
      <c r="K720" s="104"/>
      <c r="L720" s="104"/>
      <c r="M720" s="104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124"/>
      <c r="F721" s="104"/>
      <c r="G721" s="3"/>
      <c r="H721" s="3"/>
      <c r="I721" s="124"/>
      <c r="J721" s="3"/>
      <c r="K721" s="104"/>
      <c r="L721" s="104"/>
      <c r="M721" s="104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124"/>
      <c r="F722" s="104"/>
      <c r="G722" s="3"/>
      <c r="H722" s="3"/>
      <c r="I722" s="124"/>
      <c r="J722" s="3"/>
      <c r="K722" s="104"/>
      <c r="L722" s="104"/>
      <c r="M722" s="104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124"/>
      <c r="F723" s="104"/>
      <c r="G723" s="3"/>
      <c r="H723" s="3"/>
      <c r="I723" s="124"/>
      <c r="J723" s="3"/>
      <c r="K723" s="104"/>
      <c r="L723" s="104"/>
      <c r="M723" s="104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124"/>
      <c r="F724" s="104"/>
      <c r="G724" s="3"/>
      <c r="H724" s="3"/>
      <c r="I724" s="124"/>
      <c r="J724" s="3"/>
      <c r="K724" s="104"/>
      <c r="L724" s="104"/>
      <c r="M724" s="104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124"/>
      <c r="F725" s="104"/>
      <c r="G725" s="3"/>
      <c r="H725" s="3"/>
      <c r="I725" s="124"/>
      <c r="J725" s="3"/>
      <c r="K725" s="104"/>
      <c r="L725" s="104"/>
      <c r="M725" s="104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124"/>
      <c r="F726" s="104"/>
      <c r="G726" s="3"/>
      <c r="H726" s="3"/>
      <c r="I726" s="124"/>
      <c r="J726" s="3"/>
      <c r="K726" s="104"/>
      <c r="L726" s="104"/>
      <c r="M726" s="104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124"/>
      <c r="F727" s="104"/>
      <c r="G727" s="3"/>
      <c r="H727" s="3"/>
      <c r="I727" s="124"/>
      <c r="J727" s="3"/>
      <c r="K727" s="104"/>
      <c r="L727" s="104"/>
      <c r="M727" s="104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124"/>
      <c r="F728" s="104"/>
      <c r="G728" s="3"/>
      <c r="H728" s="3"/>
      <c r="I728" s="124"/>
      <c r="J728" s="3"/>
      <c r="K728" s="104"/>
      <c r="L728" s="104"/>
      <c r="M728" s="104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124"/>
      <c r="F729" s="104"/>
      <c r="G729" s="3"/>
      <c r="H729" s="3"/>
      <c r="I729" s="124"/>
      <c r="J729" s="3"/>
      <c r="K729" s="104"/>
      <c r="L729" s="104"/>
      <c r="M729" s="104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124"/>
      <c r="F730" s="104"/>
      <c r="G730" s="3"/>
      <c r="H730" s="3"/>
      <c r="I730" s="124"/>
      <c r="J730" s="3"/>
      <c r="K730" s="104"/>
      <c r="L730" s="104"/>
      <c r="M730" s="104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124"/>
      <c r="F731" s="104"/>
      <c r="G731" s="3"/>
      <c r="H731" s="3"/>
      <c r="I731" s="124"/>
      <c r="J731" s="3"/>
      <c r="K731" s="104"/>
      <c r="L731" s="104"/>
      <c r="M731" s="104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124"/>
      <c r="F732" s="104"/>
      <c r="G732" s="3"/>
      <c r="H732" s="3"/>
      <c r="I732" s="124"/>
      <c r="J732" s="3"/>
      <c r="K732" s="104"/>
      <c r="L732" s="104"/>
      <c r="M732" s="104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124"/>
      <c r="F733" s="104"/>
      <c r="G733" s="3"/>
      <c r="H733" s="3"/>
      <c r="I733" s="124"/>
      <c r="J733" s="3"/>
      <c r="K733" s="104"/>
      <c r="L733" s="104"/>
      <c r="M733" s="104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124"/>
      <c r="F734" s="104"/>
      <c r="G734" s="3"/>
      <c r="H734" s="3"/>
      <c r="I734" s="124"/>
      <c r="J734" s="3"/>
      <c r="K734" s="104"/>
      <c r="L734" s="104"/>
      <c r="M734" s="104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124"/>
      <c r="F735" s="104"/>
      <c r="G735" s="3"/>
      <c r="H735" s="3"/>
      <c r="I735" s="124"/>
      <c r="J735" s="3"/>
      <c r="K735" s="104"/>
      <c r="L735" s="104"/>
      <c r="M735" s="104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124"/>
      <c r="F736" s="104"/>
      <c r="G736" s="3"/>
      <c r="H736" s="3"/>
      <c r="I736" s="124"/>
      <c r="J736" s="3"/>
      <c r="K736" s="104"/>
      <c r="L736" s="104"/>
      <c r="M736" s="104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124"/>
      <c r="F737" s="104"/>
      <c r="G737" s="3"/>
      <c r="H737" s="3"/>
      <c r="I737" s="124"/>
      <c r="J737" s="3"/>
      <c r="K737" s="104"/>
      <c r="L737" s="104"/>
      <c r="M737" s="104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124"/>
      <c r="F738" s="104"/>
      <c r="G738" s="3"/>
      <c r="H738" s="3"/>
      <c r="I738" s="124"/>
      <c r="J738" s="3"/>
      <c r="K738" s="104"/>
      <c r="L738" s="104"/>
      <c r="M738" s="104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124"/>
      <c r="F739" s="104"/>
      <c r="G739" s="3"/>
      <c r="H739" s="3"/>
      <c r="I739" s="124"/>
      <c r="J739" s="3"/>
      <c r="K739" s="104"/>
      <c r="L739" s="104"/>
      <c r="M739" s="104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124"/>
      <c r="F740" s="104"/>
      <c r="G740" s="3"/>
      <c r="H740" s="3"/>
      <c r="I740" s="124"/>
      <c r="J740" s="3"/>
      <c r="K740" s="104"/>
      <c r="L740" s="104"/>
      <c r="M740" s="104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124"/>
      <c r="F741" s="104"/>
      <c r="G741" s="3"/>
      <c r="H741" s="3"/>
      <c r="I741" s="124"/>
      <c r="J741" s="3"/>
      <c r="K741" s="104"/>
      <c r="L741" s="104"/>
      <c r="M741" s="104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124"/>
      <c r="F742" s="104"/>
      <c r="G742" s="3"/>
      <c r="H742" s="3"/>
      <c r="I742" s="124"/>
      <c r="J742" s="3"/>
      <c r="K742" s="104"/>
      <c r="L742" s="104"/>
      <c r="M742" s="104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124"/>
      <c r="F743" s="104"/>
      <c r="G743" s="3"/>
      <c r="H743" s="3"/>
      <c r="I743" s="124"/>
      <c r="J743" s="3"/>
      <c r="K743" s="104"/>
      <c r="L743" s="104"/>
      <c r="M743" s="104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124"/>
      <c r="F744" s="104"/>
      <c r="G744" s="3"/>
      <c r="H744" s="3"/>
      <c r="I744" s="124"/>
      <c r="J744" s="3"/>
      <c r="K744" s="104"/>
      <c r="L744" s="104"/>
      <c r="M744" s="104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124"/>
      <c r="F745" s="104"/>
      <c r="G745" s="3"/>
      <c r="H745" s="3"/>
      <c r="I745" s="124"/>
      <c r="J745" s="3"/>
      <c r="K745" s="104"/>
      <c r="L745" s="104"/>
      <c r="M745" s="104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124"/>
      <c r="F746" s="104"/>
      <c r="G746" s="3"/>
      <c r="H746" s="3"/>
      <c r="I746" s="124"/>
      <c r="J746" s="3"/>
      <c r="K746" s="104"/>
      <c r="L746" s="104"/>
      <c r="M746" s="104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124"/>
      <c r="F747" s="104"/>
      <c r="G747" s="3"/>
      <c r="H747" s="3"/>
      <c r="I747" s="124"/>
      <c r="J747" s="3"/>
      <c r="K747" s="104"/>
      <c r="L747" s="104"/>
      <c r="M747" s="104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124"/>
      <c r="F748" s="104"/>
      <c r="G748" s="3"/>
      <c r="H748" s="3"/>
      <c r="I748" s="124"/>
      <c r="J748" s="3"/>
      <c r="K748" s="104"/>
      <c r="L748" s="104"/>
      <c r="M748" s="104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124"/>
      <c r="F749" s="104"/>
      <c r="G749" s="3"/>
      <c r="H749" s="3"/>
      <c r="I749" s="124"/>
      <c r="J749" s="3"/>
      <c r="K749" s="104"/>
      <c r="L749" s="104"/>
      <c r="M749" s="104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124"/>
      <c r="F750" s="104"/>
      <c r="G750" s="3"/>
      <c r="H750" s="3"/>
      <c r="I750" s="124"/>
      <c r="J750" s="3"/>
      <c r="K750" s="104"/>
      <c r="L750" s="104"/>
      <c r="M750" s="104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124"/>
      <c r="F751" s="104"/>
      <c r="G751" s="3"/>
      <c r="H751" s="3"/>
      <c r="I751" s="124"/>
      <c r="J751" s="3"/>
      <c r="K751" s="104"/>
      <c r="L751" s="104"/>
      <c r="M751" s="104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124"/>
      <c r="F752" s="104"/>
      <c r="G752" s="3"/>
      <c r="H752" s="3"/>
      <c r="I752" s="124"/>
      <c r="J752" s="3"/>
      <c r="K752" s="104"/>
      <c r="L752" s="104"/>
      <c r="M752" s="104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124"/>
      <c r="F753" s="104"/>
      <c r="G753" s="3"/>
      <c r="H753" s="3"/>
      <c r="I753" s="124"/>
      <c r="J753" s="3"/>
      <c r="K753" s="104"/>
      <c r="L753" s="104"/>
      <c r="M753" s="104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124"/>
      <c r="F754" s="104"/>
      <c r="G754" s="3"/>
      <c r="H754" s="3"/>
      <c r="I754" s="124"/>
      <c r="J754" s="3"/>
      <c r="K754" s="104"/>
      <c r="L754" s="104"/>
      <c r="M754" s="104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124"/>
      <c r="F755" s="104"/>
      <c r="G755" s="3"/>
      <c r="H755" s="3"/>
      <c r="I755" s="124"/>
      <c r="J755" s="3"/>
      <c r="K755" s="104"/>
      <c r="L755" s="104"/>
      <c r="M755" s="104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124"/>
      <c r="F756" s="104"/>
      <c r="G756" s="3"/>
      <c r="H756" s="3"/>
      <c r="I756" s="124"/>
      <c r="J756" s="3"/>
      <c r="K756" s="104"/>
      <c r="L756" s="104"/>
      <c r="M756" s="104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124"/>
      <c r="F757" s="104"/>
      <c r="G757" s="3"/>
      <c r="H757" s="3"/>
      <c r="I757" s="124"/>
      <c r="J757" s="3"/>
      <c r="K757" s="104"/>
      <c r="L757" s="104"/>
      <c r="M757" s="104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124"/>
      <c r="F758" s="104"/>
      <c r="G758" s="3"/>
      <c r="H758" s="3"/>
      <c r="I758" s="124"/>
      <c r="J758" s="3"/>
      <c r="K758" s="104"/>
      <c r="L758" s="104"/>
      <c r="M758" s="104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124"/>
      <c r="F759" s="104"/>
      <c r="G759" s="3"/>
      <c r="H759" s="3"/>
      <c r="I759" s="124"/>
      <c r="J759" s="3"/>
      <c r="K759" s="104"/>
      <c r="L759" s="104"/>
      <c r="M759" s="104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124"/>
      <c r="F760" s="104"/>
      <c r="G760" s="3"/>
      <c r="H760" s="3"/>
      <c r="I760" s="124"/>
      <c r="J760" s="3"/>
      <c r="K760" s="104"/>
      <c r="L760" s="104"/>
      <c r="M760" s="104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124"/>
      <c r="F761" s="104"/>
      <c r="G761" s="3"/>
      <c r="H761" s="3"/>
      <c r="I761" s="124"/>
      <c r="J761" s="3"/>
      <c r="K761" s="104"/>
      <c r="L761" s="104"/>
      <c r="M761" s="104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124"/>
      <c r="F762" s="104"/>
      <c r="G762" s="3"/>
      <c r="H762" s="3"/>
      <c r="I762" s="124"/>
      <c r="J762" s="3"/>
      <c r="K762" s="104"/>
      <c r="L762" s="104"/>
      <c r="M762" s="104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124"/>
      <c r="F763" s="104"/>
      <c r="G763" s="3"/>
      <c r="H763" s="3"/>
      <c r="I763" s="124"/>
      <c r="J763" s="3"/>
      <c r="K763" s="104"/>
      <c r="L763" s="104"/>
      <c r="M763" s="104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124"/>
      <c r="F764" s="104"/>
      <c r="G764" s="3"/>
      <c r="H764" s="3"/>
      <c r="I764" s="124"/>
      <c r="J764" s="3"/>
      <c r="K764" s="104"/>
      <c r="L764" s="104"/>
      <c r="M764" s="104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124"/>
      <c r="F765" s="104"/>
      <c r="G765" s="3"/>
      <c r="H765" s="3"/>
      <c r="I765" s="124"/>
      <c r="J765" s="3"/>
      <c r="K765" s="104"/>
      <c r="L765" s="104"/>
      <c r="M765" s="104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124"/>
      <c r="F766" s="104"/>
      <c r="G766" s="3"/>
      <c r="H766" s="3"/>
      <c r="I766" s="124"/>
      <c r="J766" s="3"/>
      <c r="K766" s="104"/>
      <c r="L766" s="104"/>
      <c r="M766" s="104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124"/>
      <c r="F767" s="104"/>
      <c r="G767" s="3"/>
      <c r="H767" s="3"/>
      <c r="I767" s="124"/>
      <c r="J767" s="3"/>
      <c r="K767" s="104"/>
      <c r="L767" s="104"/>
      <c r="M767" s="104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124"/>
      <c r="F768" s="104"/>
      <c r="G768" s="3"/>
      <c r="H768" s="3"/>
      <c r="I768" s="124"/>
      <c r="J768" s="3"/>
      <c r="K768" s="104"/>
      <c r="L768" s="104"/>
      <c r="M768" s="104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124"/>
      <c r="F769" s="104"/>
      <c r="G769" s="3"/>
      <c r="H769" s="3"/>
      <c r="I769" s="124"/>
      <c r="J769" s="3"/>
      <c r="K769" s="104"/>
      <c r="L769" s="104"/>
      <c r="M769" s="104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124"/>
      <c r="F770" s="104"/>
      <c r="G770" s="3"/>
      <c r="H770" s="3"/>
      <c r="I770" s="124"/>
      <c r="J770" s="3"/>
      <c r="K770" s="104"/>
      <c r="L770" s="104"/>
      <c r="M770" s="104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124"/>
      <c r="F771" s="104"/>
      <c r="G771" s="3"/>
      <c r="H771" s="3"/>
      <c r="I771" s="124"/>
      <c r="J771" s="3"/>
      <c r="K771" s="104"/>
      <c r="L771" s="104"/>
      <c r="M771" s="104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124"/>
      <c r="F772" s="104"/>
      <c r="G772" s="3"/>
      <c r="H772" s="3"/>
      <c r="I772" s="124"/>
      <c r="J772" s="3"/>
      <c r="K772" s="104"/>
      <c r="L772" s="104"/>
      <c r="M772" s="104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124"/>
      <c r="F773" s="104"/>
      <c r="G773" s="3"/>
      <c r="H773" s="3"/>
      <c r="I773" s="124"/>
      <c r="J773" s="3"/>
      <c r="K773" s="104"/>
      <c r="L773" s="104"/>
      <c r="M773" s="104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124"/>
      <c r="F774" s="104"/>
      <c r="G774" s="3"/>
      <c r="H774" s="3"/>
      <c r="I774" s="124"/>
      <c r="J774" s="3"/>
      <c r="K774" s="104"/>
      <c r="L774" s="104"/>
      <c r="M774" s="104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124"/>
      <c r="F775" s="104"/>
      <c r="G775" s="3"/>
      <c r="H775" s="3"/>
      <c r="I775" s="124"/>
      <c r="J775" s="3"/>
      <c r="K775" s="104"/>
      <c r="L775" s="104"/>
      <c r="M775" s="104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124"/>
      <c r="F776" s="104"/>
      <c r="G776" s="3"/>
      <c r="H776" s="3"/>
      <c r="I776" s="124"/>
      <c r="J776" s="3"/>
      <c r="K776" s="104"/>
      <c r="L776" s="104"/>
      <c r="M776" s="104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124"/>
      <c r="F777" s="104"/>
      <c r="G777" s="3"/>
      <c r="H777" s="3"/>
      <c r="I777" s="124"/>
      <c r="J777" s="3"/>
      <c r="K777" s="104"/>
      <c r="L777" s="104"/>
      <c r="M777" s="104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124"/>
      <c r="F778" s="104"/>
      <c r="G778" s="3"/>
      <c r="H778" s="3"/>
      <c r="I778" s="124"/>
      <c r="J778" s="3"/>
      <c r="K778" s="104"/>
      <c r="L778" s="104"/>
      <c r="M778" s="104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124"/>
      <c r="F779" s="104"/>
      <c r="G779" s="3"/>
      <c r="H779" s="3"/>
      <c r="I779" s="124"/>
      <c r="J779" s="3"/>
      <c r="K779" s="104"/>
      <c r="L779" s="104"/>
      <c r="M779" s="104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124"/>
      <c r="F780" s="104"/>
      <c r="G780" s="3"/>
      <c r="H780" s="3"/>
      <c r="I780" s="124"/>
      <c r="J780" s="3"/>
      <c r="K780" s="104"/>
      <c r="L780" s="104"/>
      <c r="M780" s="104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124"/>
      <c r="F781" s="104"/>
      <c r="G781" s="3"/>
      <c r="H781" s="3"/>
      <c r="I781" s="124"/>
      <c r="J781" s="3"/>
      <c r="K781" s="104"/>
      <c r="L781" s="104"/>
      <c r="M781" s="104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124"/>
      <c r="F782" s="104"/>
      <c r="G782" s="3"/>
      <c r="H782" s="3"/>
      <c r="I782" s="124"/>
      <c r="J782" s="3"/>
      <c r="K782" s="104"/>
      <c r="L782" s="104"/>
      <c r="M782" s="104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124"/>
      <c r="F783" s="104"/>
      <c r="G783" s="3"/>
      <c r="H783" s="3"/>
      <c r="I783" s="124"/>
      <c r="J783" s="3"/>
      <c r="K783" s="104"/>
      <c r="L783" s="104"/>
      <c r="M783" s="104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124"/>
      <c r="F784" s="104"/>
      <c r="G784" s="3"/>
      <c r="H784" s="3"/>
      <c r="I784" s="124"/>
      <c r="J784" s="3"/>
      <c r="K784" s="104"/>
      <c r="L784" s="104"/>
      <c r="M784" s="104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124"/>
      <c r="F785" s="104"/>
      <c r="G785" s="3"/>
      <c r="H785" s="3"/>
      <c r="I785" s="124"/>
      <c r="J785" s="3"/>
      <c r="K785" s="104"/>
      <c r="L785" s="104"/>
      <c r="M785" s="104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124"/>
      <c r="F786" s="104"/>
      <c r="G786" s="3"/>
      <c r="H786" s="3"/>
      <c r="I786" s="124"/>
      <c r="J786" s="3"/>
      <c r="K786" s="104"/>
      <c r="L786" s="104"/>
      <c r="M786" s="104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124"/>
      <c r="F787" s="104"/>
      <c r="G787" s="3"/>
      <c r="H787" s="3"/>
      <c r="I787" s="124"/>
      <c r="J787" s="3"/>
      <c r="K787" s="104"/>
      <c r="L787" s="104"/>
      <c r="M787" s="104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124"/>
      <c r="F788" s="104"/>
      <c r="G788" s="3"/>
      <c r="H788" s="3"/>
      <c r="I788" s="124"/>
      <c r="J788" s="3"/>
      <c r="K788" s="104"/>
      <c r="L788" s="104"/>
      <c r="M788" s="104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124"/>
      <c r="F789" s="104"/>
      <c r="G789" s="3"/>
      <c r="H789" s="3"/>
      <c r="I789" s="124"/>
      <c r="J789" s="3"/>
      <c r="K789" s="104"/>
      <c r="L789" s="104"/>
      <c r="M789" s="104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124"/>
      <c r="F790" s="104"/>
      <c r="G790" s="3"/>
      <c r="H790" s="3"/>
      <c r="I790" s="124"/>
      <c r="J790" s="3"/>
      <c r="K790" s="104"/>
      <c r="L790" s="104"/>
      <c r="M790" s="104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124"/>
      <c r="F791" s="104"/>
      <c r="G791" s="3"/>
      <c r="H791" s="3"/>
      <c r="I791" s="124"/>
      <c r="J791" s="3"/>
      <c r="K791" s="104"/>
      <c r="L791" s="104"/>
      <c r="M791" s="104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124"/>
      <c r="F792" s="104"/>
      <c r="G792" s="3"/>
      <c r="H792" s="3"/>
      <c r="I792" s="124"/>
      <c r="J792" s="3"/>
      <c r="K792" s="104"/>
      <c r="L792" s="104"/>
      <c r="M792" s="104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124"/>
      <c r="F793" s="104"/>
      <c r="G793" s="3"/>
      <c r="H793" s="3"/>
      <c r="I793" s="124"/>
      <c r="J793" s="3"/>
      <c r="K793" s="104"/>
      <c r="L793" s="104"/>
      <c r="M793" s="104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124"/>
      <c r="F794" s="104"/>
      <c r="G794" s="3"/>
      <c r="H794" s="3"/>
      <c r="I794" s="124"/>
      <c r="J794" s="3"/>
      <c r="K794" s="104"/>
      <c r="L794" s="104"/>
      <c r="M794" s="104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124"/>
      <c r="F795" s="104"/>
      <c r="G795" s="3"/>
      <c r="H795" s="3"/>
      <c r="I795" s="124"/>
      <c r="J795" s="3"/>
      <c r="K795" s="104"/>
      <c r="L795" s="104"/>
      <c r="M795" s="104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124"/>
      <c r="F796" s="104"/>
      <c r="G796" s="3"/>
      <c r="H796" s="3"/>
      <c r="I796" s="124"/>
      <c r="J796" s="3"/>
      <c r="K796" s="104"/>
      <c r="L796" s="104"/>
      <c r="M796" s="104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124"/>
      <c r="F797" s="104"/>
      <c r="G797" s="3"/>
      <c r="H797" s="3"/>
      <c r="I797" s="124"/>
      <c r="J797" s="3"/>
      <c r="K797" s="104"/>
      <c r="L797" s="104"/>
      <c r="M797" s="104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124"/>
      <c r="F798" s="104"/>
      <c r="G798" s="3"/>
      <c r="H798" s="3"/>
      <c r="I798" s="124"/>
      <c r="J798" s="3"/>
      <c r="K798" s="104"/>
      <c r="L798" s="104"/>
      <c r="M798" s="104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124"/>
      <c r="F799" s="104"/>
      <c r="G799" s="3"/>
      <c r="H799" s="3"/>
      <c r="I799" s="124"/>
      <c r="J799" s="3"/>
      <c r="K799" s="104"/>
      <c r="L799" s="104"/>
      <c r="M799" s="104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124"/>
      <c r="F800" s="104"/>
      <c r="G800" s="3"/>
      <c r="H800" s="3"/>
      <c r="I800" s="124"/>
      <c r="J800" s="3"/>
      <c r="K800" s="104"/>
      <c r="L800" s="104"/>
      <c r="M800" s="104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124"/>
      <c r="F801" s="104"/>
      <c r="G801" s="3"/>
      <c r="H801" s="3"/>
      <c r="I801" s="124"/>
      <c r="J801" s="3"/>
      <c r="K801" s="104"/>
      <c r="L801" s="104"/>
      <c r="M801" s="104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124"/>
      <c r="F802" s="104"/>
      <c r="G802" s="3"/>
      <c r="H802" s="3"/>
      <c r="I802" s="124"/>
      <c r="J802" s="3"/>
      <c r="K802" s="104"/>
      <c r="L802" s="104"/>
      <c r="M802" s="104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124"/>
      <c r="F803" s="104"/>
      <c r="G803" s="3"/>
      <c r="H803" s="3"/>
      <c r="I803" s="124"/>
      <c r="J803" s="3"/>
      <c r="K803" s="104"/>
      <c r="L803" s="104"/>
      <c r="M803" s="104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124"/>
      <c r="F804" s="104"/>
      <c r="G804" s="3"/>
      <c r="H804" s="3"/>
      <c r="I804" s="124"/>
      <c r="J804" s="3"/>
      <c r="K804" s="104"/>
      <c r="L804" s="104"/>
      <c r="M804" s="104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124"/>
      <c r="F805" s="104"/>
      <c r="G805" s="3"/>
      <c r="H805" s="3"/>
      <c r="I805" s="124"/>
      <c r="J805" s="3"/>
      <c r="K805" s="104"/>
      <c r="L805" s="104"/>
      <c r="M805" s="104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124"/>
      <c r="F806" s="104"/>
      <c r="G806" s="3"/>
      <c r="H806" s="3"/>
      <c r="I806" s="124"/>
      <c r="J806" s="3"/>
      <c r="K806" s="104"/>
      <c r="L806" s="104"/>
      <c r="M806" s="104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124"/>
      <c r="F807" s="104"/>
      <c r="G807" s="3"/>
      <c r="H807" s="3"/>
      <c r="I807" s="124"/>
      <c r="J807" s="3"/>
      <c r="K807" s="104"/>
      <c r="L807" s="104"/>
      <c r="M807" s="104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124"/>
      <c r="F808" s="104"/>
      <c r="G808" s="3"/>
      <c r="H808" s="3"/>
      <c r="I808" s="124"/>
      <c r="J808" s="3"/>
      <c r="K808" s="104"/>
      <c r="L808" s="104"/>
      <c r="M808" s="104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124"/>
      <c r="F809" s="104"/>
      <c r="G809" s="3"/>
      <c r="H809" s="3"/>
      <c r="I809" s="124"/>
      <c r="J809" s="3"/>
      <c r="K809" s="104"/>
      <c r="L809" s="104"/>
      <c r="M809" s="104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124"/>
      <c r="F810" s="104"/>
      <c r="G810" s="3"/>
      <c r="H810" s="3"/>
      <c r="I810" s="124"/>
      <c r="J810" s="3"/>
      <c r="K810" s="104"/>
      <c r="L810" s="104"/>
      <c r="M810" s="104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124"/>
      <c r="F811" s="104"/>
      <c r="G811" s="3"/>
      <c r="H811" s="3"/>
      <c r="I811" s="124"/>
      <c r="J811" s="3"/>
      <c r="K811" s="104"/>
      <c r="L811" s="104"/>
      <c r="M811" s="104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124"/>
      <c r="F812" s="104"/>
      <c r="G812" s="3"/>
      <c r="H812" s="3"/>
      <c r="I812" s="124"/>
      <c r="J812" s="3"/>
      <c r="K812" s="104"/>
      <c r="L812" s="104"/>
      <c r="M812" s="104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124"/>
      <c r="F813" s="104"/>
      <c r="G813" s="3"/>
      <c r="H813" s="3"/>
      <c r="I813" s="124"/>
      <c r="J813" s="3"/>
      <c r="K813" s="104"/>
      <c r="L813" s="104"/>
      <c r="M813" s="104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124"/>
      <c r="F814" s="104"/>
      <c r="G814" s="3"/>
      <c r="H814" s="3"/>
      <c r="I814" s="124"/>
      <c r="J814" s="3"/>
      <c r="K814" s="104"/>
      <c r="L814" s="104"/>
      <c r="M814" s="104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124"/>
      <c r="F815" s="104"/>
      <c r="G815" s="3"/>
      <c r="H815" s="3"/>
      <c r="I815" s="124"/>
      <c r="J815" s="3"/>
      <c r="K815" s="104"/>
      <c r="L815" s="104"/>
      <c r="M815" s="104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124"/>
      <c r="F816" s="104"/>
      <c r="G816" s="3"/>
      <c r="H816" s="3"/>
      <c r="I816" s="124"/>
      <c r="J816" s="3"/>
      <c r="K816" s="104"/>
      <c r="L816" s="104"/>
      <c r="M816" s="104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124"/>
      <c r="F817" s="104"/>
      <c r="G817" s="3"/>
      <c r="H817" s="3"/>
      <c r="I817" s="124"/>
      <c r="J817" s="3"/>
      <c r="K817" s="104"/>
      <c r="L817" s="104"/>
      <c r="M817" s="104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124"/>
      <c r="F818" s="104"/>
      <c r="G818" s="3"/>
      <c r="H818" s="3"/>
      <c r="I818" s="124"/>
      <c r="J818" s="3"/>
      <c r="K818" s="104"/>
      <c r="L818" s="104"/>
      <c r="M818" s="104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124"/>
      <c r="F819" s="104"/>
      <c r="G819" s="3"/>
      <c r="H819" s="3"/>
      <c r="I819" s="124"/>
      <c r="J819" s="3"/>
      <c r="K819" s="104"/>
      <c r="L819" s="104"/>
      <c r="M819" s="104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124"/>
      <c r="F820" s="104"/>
      <c r="G820" s="3"/>
      <c r="H820" s="3"/>
      <c r="I820" s="124"/>
      <c r="J820" s="3"/>
      <c r="K820" s="104"/>
      <c r="L820" s="104"/>
      <c r="M820" s="104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124"/>
      <c r="F821" s="104"/>
      <c r="G821" s="3"/>
      <c r="H821" s="3"/>
      <c r="I821" s="124"/>
      <c r="J821" s="3"/>
      <c r="K821" s="104"/>
      <c r="L821" s="104"/>
      <c r="M821" s="104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124"/>
      <c r="F822" s="104"/>
      <c r="G822" s="3"/>
      <c r="H822" s="3"/>
      <c r="I822" s="124"/>
      <c r="J822" s="3"/>
      <c r="K822" s="104"/>
      <c r="L822" s="104"/>
      <c r="M822" s="104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124"/>
      <c r="F823" s="104"/>
      <c r="G823" s="3"/>
      <c r="H823" s="3"/>
      <c r="I823" s="124"/>
      <c r="J823" s="3"/>
      <c r="K823" s="104"/>
      <c r="L823" s="104"/>
      <c r="M823" s="104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124"/>
      <c r="F824" s="104"/>
      <c r="G824" s="3"/>
      <c r="H824" s="3"/>
      <c r="I824" s="124"/>
      <c r="J824" s="3"/>
      <c r="K824" s="104"/>
      <c r="L824" s="104"/>
      <c r="M824" s="104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124"/>
      <c r="F825" s="104"/>
      <c r="G825" s="3"/>
      <c r="H825" s="3"/>
      <c r="I825" s="124"/>
      <c r="J825" s="3"/>
      <c r="K825" s="104"/>
      <c r="L825" s="104"/>
      <c r="M825" s="104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124"/>
      <c r="F826" s="104"/>
      <c r="G826" s="3"/>
      <c r="H826" s="3"/>
      <c r="I826" s="124"/>
      <c r="J826" s="3"/>
      <c r="K826" s="104"/>
      <c r="L826" s="104"/>
      <c r="M826" s="104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124"/>
      <c r="F827" s="104"/>
      <c r="G827" s="3"/>
      <c r="H827" s="3"/>
      <c r="I827" s="124"/>
      <c r="J827" s="3"/>
      <c r="K827" s="104"/>
      <c r="L827" s="104"/>
      <c r="M827" s="104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124"/>
      <c r="F828" s="104"/>
      <c r="G828" s="3"/>
      <c r="H828" s="3"/>
      <c r="I828" s="124"/>
      <c r="J828" s="3"/>
      <c r="K828" s="104"/>
      <c r="L828" s="104"/>
      <c r="M828" s="104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124"/>
      <c r="F829" s="104"/>
      <c r="G829" s="3"/>
      <c r="H829" s="3"/>
      <c r="I829" s="124"/>
      <c r="J829" s="3"/>
      <c r="K829" s="104"/>
      <c r="L829" s="104"/>
      <c r="M829" s="104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124"/>
      <c r="F830" s="104"/>
      <c r="G830" s="3"/>
      <c r="H830" s="3"/>
      <c r="I830" s="124"/>
      <c r="J830" s="3"/>
      <c r="K830" s="104"/>
      <c r="L830" s="104"/>
      <c r="M830" s="104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124"/>
      <c r="F831" s="104"/>
      <c r="G831" s="3"/>
      <c r="H831" s="3"/>
      <c r="I831" s="124"/>
      <c r="J831" s="3"/>
      <c r="K831" s="104"/>
      <c r="L831" s="104"/>
      <c r="M831" s="104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124"/>
      <c r="F832" s="104"/>
      <c r="G832" s="3"/>
      <c r="H832" s="3"/>
      <c r="I832" s="124"/>
      <c r="J832" s="3"/>
      <c r="K832" s="104"/>
      <c r="L832" s="104"/>
      <c r="M832" s="104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124"/>
      <c r="F833" s="104"/>
      <c r="G833" s="3"/>
      <c r="H833" s="3"/>
      <c r="I833" s="124"/>
      <c r="J833" s="3"/>
      <c r="K833" s="104"/>
      <c r="L833" s="104"/>
      <c r="M833" s="104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124"/>
      <c r="F834" s="104"/>
      <c r="G834" s="3"/>
      <c r="H834" s="3"/>
      <c r="I834" s="124"/>
      <c r="J834" s="3"/>
      <c r="K834" s="104"/>
      <c r="L834" s="104"/>
      <c r="M834" s="104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124"/>
      <c r="F835" s="104"/>
      <c r="G835" s="3"/>
      <c r="H835" s="3"/>
      <c r="I835" s="124"/>
      <c r="J835" s="3"/>
      <c r="K835" s="104"/>
      <c r="L835" s="104"/>
      <c r="M835" s="104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124"/>
      <c r="F836" s="104"/>
      <c r="G836" s="3"/>
      <c r="H836" s="3"/>
      <c r="I836" s="124"/>
      <c r="J836" s="3"/>
      <c r="K836" s="104"/>
      <c r="L836" s="104"/>
      <c r="M836" s="104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124"/>
      <c r="F837" s="104"/>
      <c r="G837" s="3"/>
      <c r="H837" s="3"/>
      <c r="I837" s="124"/>
      <c r="J837" s="3"/>
      <c r="K837" s="104"/>
      <c r="L837" s="104"/>
      <c r="M837" s="104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124"/>
      <c r="F838" s="104"/>
      <c r="G838" s="3"/>
      <c r="H838" s="3"/>
      <c r="I838" s="124"/>
      <c r="J838" s="3"/>
      <c r="K838" s="104"/>
      <c r="L838" s="104"/>
      <c r="M838" s="104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124"/>
      <c r="F839" s="104"/>
      <c r="G839" s="3"/>
      <c r="H839" s="3"/>
      <c r="I839" s="124"/>
      <c r="J839" s="3"/>
      <c r="K839" s="104"/>
      <c r="L839" s="104"/>
      <c r="M839" s="104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124"/>
      <c r="F840" s="104"/>
      <c r="G840" s="3"/>
      <c r="H840" s="3"/>
      <c r="I840" s="124"/>
      <c r="J840" s="3"/>
      <c r="K840" s="104"/>
      <c r="L840" s="104"/>
      <c r="M840" s="104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124"/>
      <c r="F841" s="104"/>
      <c r="G841" s="3"/>
      <c r="H841" s="3"/>
      <c r="I841" s="124"/>
      <c r="J841" s="3"/>
      <c r="K841" s="104"/>
      <c r="L841" s="104"/>
      <c r="M841" s="104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124"/>
      <c r="F842" s="104"/>
      <c r="G842" s="3"/>
      <c r="H842" s="3"/>
      <c r="I842" s="124"/>
      <c r="J842" s="3"/>
      <c r="K842" s="104"/>
      <c r="L842" s="104"/>
      <c r="M842" s="104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124"/>
      <c r="F843" s="104"/>
      <c r="G843" s="3"/>
      <c r="H843" s="3"/>
      <c r="I843" s="124"/>
      <c r="J843" s="3"/>
      <c r="K843" s="104"/>
      <c r="L843" s="104"/>
      <c r="M843" s="104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124"/>
      <c r="F844" s="104"/>
      <c r="G844" s="3"/>
      <c r="H844" s="3"/>
      <c r="I844" s="124"/>
      <c r="J844" s="3"/>
      <c r="K844" s="104"/>
      <c r="L844" s="104"/>
      <c r="M844" s="104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124"/>
      <c r="F845" s="104"/>
      <c r="G845" s="3"/>
      <c r="H845" s="3"/>
      <c r="I845" s="124"/>
      <c r="J845" s="3"/>
      <c r="K845" s="104"/>
      <c r="L845" s="104"/>
      <c r="M845" s="104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124"/>
      <c r="F846" s="104"/>
      <c r="G846" s="3"/>
      <c r="H846" s="3"/>
      <c r="I846" s="124"/>
      <c r="J846" s="3"/>
      <c r="K846" s="104"/>
      <c r="L846" s="104"/>
      <c r="M846" s="104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124"/>
      <c r="F847" s="104"/>
      <c r="G847" s="3"/>
      <c r="H847" s="3"/>
      <c r="I847" s="124"/>
      <c r="J847" s="3"/>
      <c r="K847" s="104"/>
      <c r="L847" s="104"/>
      <c r="M847" s="104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124"/>
      <c r="F848" s="104"/>
      <c r="G848" s="3"/>
      <c r="H848" s="3"/>
      <c r="I848" s="124"/>
      <c r="J848" s="3"/>
      <c r="K848" s="104"/>
      <c r="L848" s="104"/>
      <c r="M848" s="104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124"/>
      <c r="F849" s="104"/>
      <c r="G849" s="3"/>
      <c r="H849" s="3"/>
      <c r="I849" s="124"/>
      <c r="J849" s="3"/>
      <c r="K849" s="104"/>
      <c r="L849" s="104"/>
      <c r="M849" s="104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124"/>
      <c r="F850" s="104"/>
      <c r="G850" s="3"/>
      <c r="H850" s="3"/>
      <c r="I850" s="124"/>
      <c r="J850" s="3"/>
      <c r="K850" s="104"/>
      <c r="L850" s="104"/>
      <c r="M850" s="104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124"/>
      <c r="F851" s="104"/>
      <c r="G851" s="3"/>
      <c r="H851" s="3"/>
      <c r="I851" s="124"/>
      <c r="J851" s="3"/>
      <c r="K851" s="104"/>
      <c r="L851" s="104"/>
      <c r="M851" s="104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124"/>
      <c r="F852" s="104"/>
      <c r="G852" s="3"/>
      <c r="H852" s="3"/>
      <c r="I852" s="124"/>
      <c r="J852" s="3"/>
      <c r="K852" s="104"/>
      <c r="L852" s="104"/>
      <c r="M852" s="104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124"/>
      <c r="F853" s="104"/>
      <c r="G853" s="3"/>
      <c r="H853" s="3"/>
      <c r="I853" s="124"/>
      <c r="J853" s="3"/>
      <c r="K853" s="104"/>
      <c r="L853" s="104"/>
      <c r="M853" s="104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124"/>
      <c r="F854" s="104"/>
      <c r="G854" s="3"/>
      <c r="H854" s="3"/>
      <c r="I854" s="124"/>
      <c r="J854" s="3"/>
      <c r="K854" s="104"/>
      <c r="L854" s="104"/>
      <c r="M854" s="104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124"/>
      <c r="F855" s="104"/>
      <c r="G855" s="3"/>
      <c r="H855" s="3"/>
      <c r="I855" s="124"/>
      <c r="J855" s="3"/>
      <c r="K855" s="104"/>
      <c r="L855" s="104"/>
      <c r="M855" s="104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124"/>
      <c r="F856" s="104"/>
      <c r="G856" s="3"/>
      <c r="H856" s="3"/>
      <c r="I856" s="124"/>
      <c r="J856" s="3"/>
      <c r="K856" s="104"/>
      <c r="L856" s="104"/>
      <c r="M856" s="104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124"/>
      <c r="F857" s="104"/>
      <c r="G857" s="3"/>
      <c r="H857" s="3"/>
      <c r="I857" s="124"/>
      <c r="J857" s="3"/>
      <c r="K857" s="104"/>
      <c r="L857" s="104"/>
      <c r="M857" s="104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124"/>
      <c r="F858" s="104"/>
      <c r="G858" s="3"/>
      <c r="H858" s="3"/>
      <c r="I858" s="124"/>
      <c r="J858" s="3"/>
      <c r="K858" s="104"/>
      <c r="L858" s="104"/>
      <c r="M858" s="104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124"/>
      <c r="F859" s="104"/>
      <c r="G859" s="3"/>
      <c r="H859" s="3"/>
      <c r="I859" s="124"/>
      <c r="J859" s="3"/>
      <c r="K859" s="104"/>
      <c r="L859" s="104"/>
      <c r="M859" s="104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124"/>
      <c r="F860" s="104"/>
      <c r="G860" s="3"/>
      <c r="H860" s="3"/>
      <c r="I860" s="124"/>
      <c r="J860" s="3"/>
      <c r="K860" s="104"/>
      <c r="L860" s="104"/>
      <c r="M860" s="104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124"/>
      <c r="F861" s="104"/>
      <c r="G861" s="3"/>
      <c r="H861" s="3"/>
      <c r="I861" s="124"/>
      <c r="J861" s="3"/>
      <c r="K861" s="104"/>
      <c r="L861" s="104"/>
      <c r="M861" s="104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124"/>
      <c r="F862" s="104"/>
      <c r="G862" s="3"/>
      <c r="H862" s="3"/>
      <c r="I862" s="124"/>
      <c r="J862" s="3"/>
      <c r="K862" s="104"/>
      <c r="L862" s="104"/>
      <c r="M862" s="104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124"/>
      <c r="F863" s="104"/>
      <c r="G863" s="3"/>
      <c r="H863" s="3"/>
      <c r="I863" s="124"/>
      <c r="J863" s="3"/>
      <c r="K863" s="104"/>
      <c r="L863" s="104"/>
      <c r="M863" s="104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124"/>
      <c r="F864" s="104"/>
      <c r="G864" s="3"/>
      <c r="H864" s="3"/>
      <c r="I864" s="124"/>
      <c r="J864" s="3"/>
      <c r="K864" s="104"/>
      <c r="L864" s="104"/>
      <c r="M864" s="104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124"/>
      <c r="F865" s="104"/>
      <c r="G865" s="3"/>
      <c r="H865" s="3"/>
      <c r="I865" s="124"/>
      <c r="J865" s="3"/>
      <c r="K865" s="104"/>
      <c r="L865" s="104"/>
      <c r="M865" s="104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124"/>
      <c r="F866" s="104"/>
      <c r="G866" s="3"/>
      <c r="H866" s="3"/>
      <c r="I866" s="124"/>
      <c r="J866" s="3"/>
      <c r="K866" s="104"/>
      <c r="L866" s="104"/>
      <c r="M866" s="104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124"/>
      <c r="F867" s="104"/>
      <c r="G867" s="3"/>
      <c r="H867" s="3"/>
      <c r="I867" s="124"/>
      <c r="J867" s="3"/>
      <c r="K867" s="104"/>
      <c r="L867" s="104"/>
      <c r="M867" s="104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124"/>
      <c r="F868" s="104"/>
      <c r="G868" s="3"/>
      <c r="H868" s="3"/>
      <c r="I868" s="124"/>
      <c r="J868" s="3"/>
      <c r="K868" s="104"/>
      <c r="L868" s="104"/>
      <c r="M868" s="104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124"/>
      <c r="F869" s="104"/>
      <c r="G869" s="3"/>
      <c r="H869" s="3"/>
      <c r="I869" s="124"/>
      <c r="J869" s="3"/>
      <c r="K869" s="104"/>
      <c r="L869" s="104"/>
      <c r="M869" s="104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124"/>
      <c r="F870" s="104"/>
      <c r="G870" s="3"/>
      <c r="H870" s="3"/>
      <c r="I870" s="124"/>
      <c r="J870" s="3"/>
      <c r="K870" s="104"/>
      <c r="L870" s="104"/>
      <c r="M870" s="104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124"/>
      <c r="F871" s="104"/>
      <c r="G871" s="3"/>
      <c r="H871" s="3"/>
      <c r="I871" s="124"/>
      <c r="J871" s="3"/>
      <c r="K871" s="104"/>
      <c r="L871" s="104"/>
      <c r="M871" s="104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124"/>
      <c r="F872" s="104"/>
      <c r="G872" s="3"/>
      <c r="H872" s="3"/>
      <c r="I872" s="124"/>
      <c r="J872" s="3"/>
      <c r="K872" s="104"/>
      <c r="L872" s="104"/>
      <c r="M872" s="104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124"/>
      <c r="F873" s="104"/>
      <c r="G873" s="3"/>
      <c r="H873" s="3"/>
      <c r="I873" s="124"/>
      <c r="J873" s="3"/>
      <c r="K873" s="104"/>
      <c r="L873" s="104"/>
      <c r="M873" s="104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124"/>
      <c r="F874" s="104"/>
      <c r="G874" s="3"/>
      <c r="H874" s="3"/>
      <c r="I874" s="124"/>
      <c r="J874" s="3"/>
      <c r="K874" s="104"/>
      <c r="L874" s="104"/>
      <c r="M874" s="104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124"/>
      <c r="F875" s="104"/>
      <c r="G875" s="3"/>
      <c r="H875" s="3"/>
      <c r="I875" s="124"/>
      <c r="J875" s="3"/>
      <c r="K875" s="104"/>
      <c r="L875" s="104"/>
      <c r="M875" s="104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124"/>
      <c r="F876" s="104"/>
      <c r="G876" s="3"/>
      <c r="H876" s="3"/>
      <c r="I876" s="124"/>
      <c r="J876" s="3"/>
      <c r="K876" s="104"/>
      <c r="L876" s="104"/>
      <c r="M876" s="104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124"/>
      <c r="F877" s="104"/>
      <c r="G877" s="3"/>
      <c r="H877" s="3"/>
      <c r="I877" s="124"/>
      <c r="J877" s="3"/>
      <c r="K877" s="104"/>
      <c r="L877" s="104"/>
      <c r="M877" s="104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124"/>
      <c r="F878" s="104"/>
      <c r="G878" s="3"/>
      <c r="H878" s="3"/>
      <c r="I878" s="124"/>
      <c r="J878" s="3"/>
      <c r="K878" s="104"/>
      <c r="L878" s="104"/>
      <c r="M878" s="104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124"/>
      <c r="F879" s="104"/>
      <c r="G879" s="3"/>
      <c r="H879" s="3"/>
      <c r="I879" s="124"/>
      <c r="J879" s="3"/>
      <c r="K879" s="104"/>
      <c r="L879" s="104"/>
      <c r="M879" s="104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124"/>
      <c r="F880" s="104"/>
      <c r="G880" s="3"/>
      <c r="H880" s="3"/>
      <c r="I880" s="124"/>
      <c r="J880" s="3"/>
      <c r="K880" s="104"/>
      <c r="L880" s="104"/>
      <c r="M880" s="104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124"/>
      <c r="F881" s="104"/>
      <c r="G881" s="3"/>
      <c r="H881" s="3"/>
      <c r="I881" s="124"/>
      <c r="J881" s="3"/>
      <c r="K881" s="104"/>
      <c r="L881" s="104"/>
      <c r="M881" s="104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124"/>
      <c r="F882" s="104"/>
      <c r="G882" s="3"/>
      <c r="H882" s="3"/>
      <c r="I882" s="124"/>
      <c r="J882" s="3"/>
      <c r="K882" s="104"/>
      <c r="L882" s="104"/>
      <c r="M882" s="104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124"/>
      <c r="F883" s="104"/>
      <c r="G883" s="3"/>
      <c r="H883" s="3"/>
      <c r="I883" s="124"/>
      <c r="J883" s="3"/>
      <c r="K883" s="104"/>
      <c r="L883" s="104"/>
      <c r="M883" s="104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124"/>
      <c r="F884" s="104"/>
      <c r="G884" s="3"/>
      <c r="H884" s="3"/>
      <c r="I884" s="124"/>
      <c r="J884" s="3"/>
      <c r="K884" s="104"/>
      <c r="L884" s="104"/>
      <c r="M884" s="104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124"/>
      <c r="F885" s="104"/>
      <c r="G885" s="3"/>
      <c r="H885" s="3"/>
      <c r="I885" s="124"/>
      <c r="J885" s="3"/>
      <c r="K885" s="104"/>
      <c r="L885" s="104"/>
      <c r="M885" s="104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124"/>
      <c r="F886" s="104"/>
      <c r="G886" s="3"/>
      <c r="H886" s="3"/>
      <c r="I886" s="124"/>
      <c r="J886" s="3"/>
      <c r="K886" s="104"/>
      <c r="L886" s="104"/>
      <c r="M886" s="104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124"/>
      <c r="F887" s="104"/>
      <c r="G887" s="3"/>
      <c r="H887" s="3"/>
      <c r="I887" s="124"/>
      <c r="J887" s="3"/>
      <c r="K887" s="104"/>
      <c r="L887" s="104"/>
      <c r="M887" s="104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124"/>
      <c r="F888" s="104"/>
      <c r="G888" s="3"/>
      <c r="H888" s="3"/>
      <c r="I888" s="124"/>
      <c r="J888" s="3"/>
      <c r="K888" s="104"/>
      <c r="L888" s="104"/>
      <c r="M888" s="104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124"/>
      <c r="F889" s="104"/>
      <c r="G889" s="3"/>
      <c r="H889" s="3"/>
      <c r="I889" s="124"/>
      <c r="J889" s="3"/>
      <c r="K889" s="104"/>
      <c r="L889" s="104"/>
      <c r="M889" s="104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124"/>
      <c r="F890" s="104"/>
      <c r="G890" s="3"/>
      <c r="H890" s="3"/>
      <c r="I890" s="124"/>
      <c r="J890" s="3"/>
      <c r="K890" s="104"/>
      <c r="L890" s="104"/>
      <c r="M890" s="104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124"/>
      <c r="F891" s="104"/>
      <c r="G891" s="3"/>
      <c r="H891" s="3"/>
      <c r="I891" s="124"/>
      <c r="J891" s="3"/>
      <c r="K891" s="104"/>
      <c r="L891" s="104"/>
      <c r="M891" s="104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124"/>
      <c r="F892" s="104"/>
      <c r="G892" s="3"/>
      <c r="H892" s="3"/>
      <c r="I892" s="124"/>
      <c r="J892" s="3"/>
      <c r="K892" s="104"/>
      <c r="L892" s="104"/>
      <c r="M892" s="104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124"/>
      <c r="F893" s="104"/>
      <c r="G893" s="3"/>
      <c r="H893" s="3"/>
      <c r="I893" s="124"/>
      <c r="J893" s="3"/>
      <c r="K893" s="104"/>
      <c r="L893" s="104"/>
      <c r="M893" s="104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124"/>
      <c r="F894" s="104"/>
      <c r="G894" s="3"/>
      <c r="H894" s="3"/>
      <c r="I894" s="124"/>
      <c r="J894" s="3"/>
      <c r="K894" s="104"/>
      <c r="L894" s="104"/>
      <c r="M894" s="104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124"/>
      <c r="F895" s="104"/>
      <c r="G895" s="3"/>
      <c r="H895" s="3"/>
      <c r="I895" s="124"/>
      <c r="J895" s="3"/>
      <c r="K895" s="104"/>
      <c r="L895" s="104"/>
      <c r="M895" s="104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124"/>
      <c r="F896" s="104"/>
      <c r="G896" s="3"/>
      <c r="H896" s="3"/>
      <c r="I896" s="124"/>
      <c r="J896" s="3"/>
      <c r="K896" s="104"/>
      <c r="L896" s="104"/>
      <c r="M896" s="104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124"/>
      <c r="F897" s="104"/>
      <c r="G897" s="3"/>
      <c r="H897" s="3"/>
      <c r="I897" s="124"/>
      <c r="J897" s="3"/>
      <c r="K897" s="104"/>
      <c r="L897" s="104"/>
      <c r="M897" s="104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124"/>
      <c r="F898" s="104"/>
      <c r="G898" s="3"/>
      <c r="H898" s="3"/>
      <c r="I898" s="124"/>
      <c r="J898" s="3"/>
      <c r="K898" s="104"/>
      <c r="L898" s="104"/>
      <c r="M898" s="104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124"/>
      <c r="F899" s="104"/>
      <c r="G899" s="3"/>
      <c r="H899" s="3"/>
      <c r="I899" s="124"/>
      <c r="J899" s="3"/>
      <c r="K899" s="104"/>
      <c r="L899" s="104"/>
      <c r="M899" s="104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124"/>
      <c r="F900" s="104"/>
      <c r="G900" s="3"/>
      <c r="H900" s="3"/>
      <c r="I900" s="124"/>
      <c r="J900" s="3"/>
      <c r="K900" s="104"/>
      <c r="L900" s="104"/>
      <c r="M900" s="104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124"/>
      <c r="F901" s="104"/>
      <c r="G901" s="3"/>
      <c r="H901" s="3"/>
      <c r="I901" s="124"/>
      <c r="J901" s="3"/>
      <c r="K901" s="104"/>
      <c r="L901" s="104"/>
      <c r="M901" s="104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124"/>
      <c r="F902" s="104"/>
      <c r="G902" s="3"/>
      <c r="H902" s="3"/>
      <c r="I902" s="124"/>
      <c r="J902" s="3"/>
      <c r="K902" s="104"/>
      <c r="L902" s="104"/>
      <c r="M902" s="104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124"/>
      <c r="F903" s="104"/>
      <c r="G903" s="3"/>
      <c r="H903" s="3"/>
      <c r="I903" s="124"/>
      <c r="J903" s="3"/>
      <c r="K903" s="104"/>
      <c r="L903" s="104"/>
      <c r="M903" s="104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124"/>
      <c r="F904" s="104"/>
      <c r="G904" s="3"/>
      <c r="H904" s="3"/>
      <c r="I904" s="124"/>
      <c r="J904" s="3"/>
      <c r="K904" s="104"/>
      <c r="L904" s="104"/>
      <c r="M904" s="104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124"/>
      <c r="F905" s="104"/>
      <c r="G905" s="3"/>
      <c r="H905" s="3"/>
      <c r="I905" s="124"/>
      <c r="J905" s="3"/>
      <c r="K905" s="104"/>
      <c r="L905" s="104"/>
      <c r="M905" s="104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124"/>
      <c r="F906" s="104"/>
      <c r="G906" s="3"/>
      <c r="H906" s="3"/>
      <c r="I906" s="124"/>
      <c r="J906" s="3"/>
      <c r="K906" s="104"/>
      <c r="L906" s="104"/>
      <c r="M906" s="104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124"/>
      <c r="F907" s="104"/>
      <c r="G907" s="3"/>
      <c r="H907" s="3"/>
      <c r="I907" s="124"/>
      <c r="J907" s="3"/>
      <c r="K907" s="104"/>
      <c r="L907" s="104"/>
      <c r="M907" s="104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124"/>
      <c r="F908" s="104"/>
      <c r="G908" s="3"/>
      <c r="H908" s="3"/>
      <c r="I908" s="124"/>
      <c r="J908" s="3"/>
      <c r="K908" s="104"/>
      <c r="L908" s="104"/>
      <c r="M908" s="104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124"/>
      <c r="F909" s="104"/>
      <c r="G909" s="3"/>
      <c r="H909" s="3"/>
      <c r="I909" s="124"/>
      <c r="J909" s="3"/>
      <c r="K909" s="104"/>
      <c r="L909" s="104"/>
      <c r="M909" s="104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124"/>
      <c r="F910" s="104"/>
      <c r="G910" s="3"/>
      <c r="H910" s="3"/>
      <c r="I910" s="124"/>
      <c r="J910" s="3"/>
      <c r="K910" s="104"/>
      <c r="L910" s="104"/>
      <c r="M910" s="104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124"/>
      <c r="F911" s="104"/>
      <c r="G911" s="3"/>
      <c r="H911" s="3"/>
      <c r="I911" s="124"/>
      <c r="J911" s="3"/>
      <c r="K911" s="104"/>
      <c r="L911" s="104"/>
      <c r="M911" s="104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124"/>
      <c r="F912" s="104"/>
      <c r="G912" s="3"/>
      <c r="H912" s="3"/>
      <c r="I912" s="124"/>
      <c r="J912" s="3"/>
      <c r="K912" s="104"/>
      <c r="L912" s="104"/>
      <c r="M912" s="104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124"/>
      <c r="F913" s="104"/>
      <c r="G913" s="3"/>
      <c r="H913" s="3"/>
      <c r="I913" s="124"/>
      <c r="J913" s="3"/>
      <c r="K913" s="104"/>
      <c r="L913" s="104"/>
      <c r="M913" s="104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124"/>
      <c r="F914" s="104"/>
      <c r="G914" s="3"/>
      <c r="H914" s="3"/>
      <c r="I914" s="124"/>
      <c r="J914" s="3"/>
      <c r="K914" s="104"/>
      <c r="L914" s="104"/>
      <c r="M914" s="104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124"/>
      <c r="F915" s="104"/>
      <c r="G915" s="3"/>
      <c r="H915" s="3"/>
      <c r="I915" s="124"/>
      <c r="J915" s="3"/>
      <c r="K915" s="104"/>
      <c r="L915" s="104"/>
      <c r="M915" s="104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124"/>
      <c r="F916" s="104"/>
      <c r="G916" s="3"/>
      <c r="H916" s="3"/>
      <c r="I916" s="124"/>
      <c r="J916" s="3"/>
      <c r="K916" s="104"/>
      <c r="L916" s="104"/>
      <c r="M916" s="104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124"/>
      <c r="F917" s="104"/>
      <c r="G917" s="3"/>
      <c r="H917" s="3"/>
      <c r="I917" s="124"/>
      <c r="J917" s="3"/>
      <c r="K917" s="104"/>
      <c r="L917" s="104"/>
      <c r="M917" s="104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124"/>
      <c r="F918" s="104"/>
      <c r="G918" s="3"/>
      <c r="H918" s="3"/>
      <c r="I918" s="124"/>
      <c r="J918" s="3"/>
      <c r="K918" s="104"/>
      <c r="L918" s="104"/>
      <c r="M918" s="104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124"/>
      <c r="F919" s="104"/>
      <c r="G919" s="3"/>
      <c r="H919" s="3"/>
      <c r="I919" s="124"/>
      <c r="J919" s="3"/>
      <c r="K919" s="104"/>
      <c r="L919" s="104"/>
      <c r="M919" s="104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124"/>
      <c r="F920" s="104"/>
      <c r="G920" s="3"/>
      <c r="H920" s="3"/>
      <c r="I920" s="124"/>
      <c r="J920" s="3"/>
      <c r="K920" s="104"/>
      <c r="L920" s="104"/>
      <c r="M920" s="104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124"/>
      <c r="F921" s="104"/>
      <c r="G921" s="3"/>
      <c r="H921" s="3"/>
      <c r="I921" s="124"/>
      <c r="J921" s="3"/>
      <c r="K921" s="104"/>
      <c r="L921" s="104"/>
      <c r="M921" s="104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124"/>
      <c r="F922" s="104"/>
      <c r="G922" s="3"/>
      <c r="H922" s="3"/>
      <c r="I922" s="124"/>
      <c r="J922" s="3"/>
      <c r="K922" s="104"/>
      <c r="L922" s="104"/>
      <c r="M922" s="104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124"/>
      <c r="F923" s="104"/>
      <c r="G923" s="3"/>
      <c r="H923" s="3"/>
      <c r="I923" s="124"/>
      <c r="J923" s="3"/>
      <c r="K923" s="104"/>
      <c r="L923" s="104"/>
      <c r="M923" s="104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124"/>
      <c r="F924" s="104"/>
      <c r="G924" s="3"/>
      <c r="H924" s="3"/>
      <c r="I924" s="124"/>
      <c r="J924" s="3"/>
      <c r="K924" s="104"/>
      <c r="L924" s="104"/>
      <c r="M924" s="104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124"/>
      <c r="F925" s="104"/>
      <c r="G925" s="3"/>
      <c r="H925" s="3"/>
      <c r="I925" s="124"/>
      <c r="J925" s="3"/>
      <c r="K925" s="104"/>
      <c r="L925" s="104"/>
      <c r="M925" s="104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124"/>
      <c r="F926" s="104"/>
      <c r="G926" s="3"/>
      <c r="H926" s="3"/>
      <c r="I926" s="124"/>
      <c r="J926" s="3"/>
      <c r="K926" s="104"/>
      <c r="L926" s="104"/>
      <c r="M926" s="104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124"/>
      <c r="F927" s="104"/>
      <c r="G927" s="3"/>
      <c r="H927" s="3"/>
      <c r="I927" s="124"/>
      <c r="J927" s="3"/>
      <c r="K927" s="104"/>
      <c r="L927" s="104"/>
      <c r="M927" s="104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124"/>
      <c r="F928" s="104"/>
      <c r="G928" s="3"/>
      <c r="H928" s="3"/>
      <c r="I928" s="124"/>
      <c r="J928" s="3"/>
      <c r="K928" s="104"/>
      <c r="L928" s="104"/>
      <c r="M928" s="104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124"/>
      <c r="F929" s="104"/>
      <c r="G929" s="3"/>
      <c r="H929" s="3"/>
      <c r="I929" s="124"/>
      <c r="J929" s="3"/>
      <c r="K929" s="104"/>
      <c r="L929" s="104"/>
      <c r="M929" s="104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124"/>
      <c r="F930" s="104"/>
      <c r="G930" s="3"/>
      <c r="H930" s="3"/>
      <c r="I930" s="124"/>
      <c r="J930" s="3"/>
      <c r="K930" s="104"/>
      <c r="L930" s="104"/>
      <c r="M930" s="104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124"/>
      <c r="F931" s="104"/>
      <c r="G931" s="3"/>
      <c r="H931" s="3"/>
      <c r="I931" s="124"/>
      <c r="J931" s="3"/>
      <c r="K931" s="104"/>
      <c r="L931" s="104"/>
      <c r="M931" s="104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124"/>
      <c r="F932" s="104"/>
      <c r="G932" s="3"/>
      <c r="H932" s="3"/>
      <c r="I932" s="124"/>
      <c r="J932" s="3"/>
      <c r="K932" s="104"/>
      <c r="L932" s="104"/>
      <c r="M932" s="104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124"/>
      <c r="F933" s="104"/>
      <c r="G933" s="3"/>
      <c r="H933" s="3"/>
      <c r="I933" s="124"/>
      <c r="J933" s="3"/>
      <c r="K933" s="104"/>
      <c r="L933" s="104"/>
      <c r="M933" s="104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124"/>
      <c r="F934" s="104"/>
      <c r="G934" s="3"/>
      <c r="H934" s="3"/>
      <c r="I934" s="124"/>
      <c r="J934" s="3"/>
      <c r="K934" s="104"/>
      <c r="L934" s="104"/>
      <c r="M934" s="104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124"/>
      <c r="F935" s="104"/>
      <c r="G935" s="3"/>
      <c r="H935" s="3"/>
      <c r="I935" s="124"/>
      <c r="J935" s="3"/>
      <c r="K935" s="104"/>
      <c r="L935" s="104"/>
      <c r="M935" s="104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124"/>
      <c r="F936" s="104"/>
      <c r="G936" s="3"/>
      <c r="H936" s="3"/>
      <c r="I936" s="124"/>
      <c r="J936" s="3"/>
      <c r="K936" s="104"/>
      <c r="L936" s="104"/>
      <c r="M936" s="104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124"/>
      <c r="F937" s="104"/>
      <c r="G937" s="3"/>
      <c r="H937" s="3"/>
      <c r="I937" s="124"/>
      <c r="J937" s="3"/>
      <c r="K937" s="104"/>
      <c r="L937" s="104"/>
      <c r="M937" s="104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124"/>
      <c r="F938" s="104"/>
      <c r="G938" s="3"/>
      <c r="H938" s="3"/>
      <c r="I938" s="124"/>
      <c r="J938" s="3"/>
      <c r="K938" s="104"/>
      <c r="L938" s="104"/>
      <c r="M938" s="104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124"/>
      <c r="F939" s="104"/>
      <c r="G939" s="3"/>
      <c r="H939" s="3"/>
      <c r="I939" s="124"/>
      <c r="J939" s="3"/>
      <c r="K939" s="104"/>
      <c r="L939" s="104"/>
      <c r="M939" s="104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124"/>
      <c r="F940" s="104"/>
      <c r="G940" s="3"/>
      <c r="H940" s="3"/>
      <c r="I940" s="124"/>
      <c r="J940" s="3"/>
      <c r="K940" s="104"/>
      <c r="L940" s="104"/>
      <c r="M940" s="104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124"/>
      <c r="F941" s="104"/>
      <c r="G941" s="3"/>
      <c r="H941" s="3"/>
      <c r="I941" s="124"/>
      <c r="J941" s="3"/>
      <c r="K941" s="104"/>
      <c r="L941" s="104"/>
      <c r="M941" s="104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124"/>
      <c r="F942" s="104"/>
      <c r="G942" s="3"/>
      <c r="H942" s="3"/>
      <c r="I942" s="124"/>
      <c r="J942" s="3"/>
      <c r="K942" s="104"/>
      <c r="L942" s="104"/>
      <c r="M942" s="104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124"/>
      <c r="F943" s="104"/>
      <c r="G943" s="3"/>
      <c r="H943" s="3"/>
      <c r="I943" s="124"/>
      <c r="J943" s="3"/>
      <c r="K943" s="104"/>
      <c r="L943" s="104"/>
      <c r="M943" s="104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124"/>
      <c r="F944" s="104"/>
      <c r="G944" s="3"/>
      <c r="H944" s="3"/>
      <c r="I944" s="124"/>
      <c r="J944" s="3"/>
      <c r="K944" s="104"/>
      <c r="L944" s="104"/>
      <c r="M944" s="104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124"/>
      <c r="F945" s="104"/>
      <c r="G945" s="3"/>
      <c r="H945" s="3"/>
      <c r="I945" s="124"/>
      <c r="J945" s="3"/>
      <c r="K945" s="104"/>
      <c r="L945" s="104"/>
      <c r="M945" s="104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124"/>
      <c r="F946" s="104"/>
      <c r="G946" s="3"/>
      <c r="H946" s="3"/>
      <c r="I946" s="124"/>
      <c r="J946" s="3"/>
      <c r="K946" s="104"/>
      <c r="L946" s="104"/>
      <c r="M946" s="104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124"/>
      <c r="F947" s="104"/>
      <c r="G947" s="3"/>
      <c r="H947" s="3"/>
      <c r="I947" s="124"/>
      <c r="J947" s="3"/>
      <c r="K947" s="104"/>
      <c r="L947" s="104"/>
      <c r="M947" s="104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124"/>
      <c r="F948" s="104"/>
      <c r="G948" s="3"/>
      <c r="H948" s="3"/>
      <c r="I948" s="124"/>
      <c r="J948" s="3"/>
      <c r="K948" s="104"/>
      <c r="L948" s="104"/>
      <c r="M948" s="104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124"/>
      <c r="F949" s="104"/>
      <c r="G949" s="3"/>
      <c r="H949" s="3"/>
      <c r="I949" s="124"/>
      <c r="J949" s="3"/>
      <c r="K949" s="104"/>
      <c r="L949" s="104"/>
      <c r="M949" s="104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124"/>
      <c r="F950" s="104"/>
      <c r="G950" s="3"/>
      <c r="H950" s="3"/>
      <c r="I950" s="124"/>
      <c r="J950" s="3"/>
      <c r="K950" s="104"/>
      <c r="L950" s="104"/>
      <c r="M950" s="104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124"/>
      <c r="F951" s="104"/>
      <c r="G951" s="3"/>
      <c r="H951" s="3"/>
      <c r="I951" s="124"/>
      <c r="J951" s="3"/>
      <c r="K951" s="104"/>
      <c r="L951" s="104"/>
      <c r="M951" s="104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124"/>
      <c r="F952" s="104"/>
      <c r="G952" s="3"/>
      <c r="H952" s="3"/>
      <c r="I952" s="124"/>
      <c r="J952" s="3"/>
      <c r="K952" s="104"/>
      <c r="L952" s="104"/>
      <c r="M952" s="104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124"/>
      <c r="F953" s="104"/>
      <c r="G953" s="3"/>
      <c r="H953" s="3"/>
      <c r="I953" s="124"/>
      <c r="J953" s="3"/>
      <c r="K953" s="104"/>
      <c r="L953" s="104"/>
      <c r="M953" s="104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124"/>
      <c r="F954" s="104"/>
      <c r="G954" s="3"/>
      <c r="H954" s="3"/>
      <c r="I954" s="124"/>
      <c r="J954" s="3"/>
      <c r="K954" s="104"/>
      <c r="L954" s="104"/>
      <c r="M954" s="104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124"/>
      <c r="F955" s="104"/>
      <c r="G955" s="3"/>
      <c r="H955" s="3"/>
      <c r="I955" s="124"/>
      <c r="J955" s="3"/>
      <c r="K955" s="104"/>
      <c r="L955" s="104"/>
      <c r="M955" s="104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124"/>
      <c r="F956" s="104"/>
      <c r="G956" s="3"/>
      <c r="H956" s="3"/>
      <c r="I956" s="124"/>
      <c r="J956" s="3"/>
      <c r="K956" s="104"/>
      <c r="L956" s="104"/>
      <c r="M956" s="104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124"/>
      <c r="F957" s="104"/>
      <c r="G957" s="3"/>
      <c r="H957" s="3"/>
      <c r="I957" s="124"/>
      <c r="J957" s="3"/>
      <c r="K957" s="104"/>
      <c r="L957" s="104"/>
      <c r="M957" s="104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124"/>
      <c r="F958" s="104"/>
      <c r="G958" s="3"/>
      <c r="H958" s="3"/>
      <c r="I958" s="124"/>
      <c r="J958" s="3"/>
      <c r="K958" s="104"/>
      <c r="L958" s="104"/>
      <c r="M958" s="104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124"/>
      <c r="F959" s="104"/>
      <c r="G959" s="3"/>
      <c r="H959" s="3"/>
      <c r="I959" s="124"/>
      <c r="J959" s="3"/>
      <c r="K959" s="104"/>
      <c r="L959" s="104"/>
      <c r="M959" s="104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124"/>
      <c r="F960" s="104"/>
      <c r="G960" s="3"/>
      <c r="H960" s="3"/>
      <c r="I960" s="124"/>
      <c r="J960" s="3"/>
      <c r="K960" s="104"/>
      <c r="L960" s="104"/>
      <c r="M960" s="104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124"/>
      <c r="F961" s="104"/>
      <c r="G961" s="3"/>
      <c r="H961" s="3"/>
      <c r="I961" s="124"/>
      <c r="J961" s="3"/>
      <c r="K961" s="104"/>
      <c r="L961" s="104"/>
      <c r="M961" s="104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124"/>
      <c r="F962" s="104"/>
      <c r="G962" s="3"/>
      <c r="H962" s="3"/>
      <c r="I962" s="124"/>
      <c r="J962" s="3"/>
      <c r="K962" s="104"/>
      <c r="L962" s="104"/>
      <c r="M962" s="104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124"/>
      <c r="F963" s="104"/>
      <c r="G963" s="3"/>
      <c r="H963" s="3"/>
      <c r="I963" s="124"/>
      <c r="J963" s="3"/>
      <c r="K963" s="104"/>
      <c r="L963" s="104"/>
      <c r="M963" s="104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124"/>
      <c r="F964" s="104"/>
      <c r="G964" s="3"/>
      <c r="H964" s="3"/>
      <c r="I964" s="124"/>
      <c r="J964" s="3"/>
      <c r="K964" s="104"/>
      <c r="L964" s="104"/>
      <c r="M964" s="104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124"/>
      <c r="F965" s="104"/>
      <c r="G965" s="3"/>
      <c r="H965" s="3"/>
      <c r="I965" s="124"/>
      <c r="J965" s="3"/>
      <c r="K965" s="104"/>
      <c r="L965" s="104"/>
      <c r="M965" s="104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124"/>
      <c r="F966" s="104"/>
      <c r="G966" s="3"/>
      <c r="H966" s="3"/>
      <c r="I966" s="124"/>
      <c r="J966" s="3"/>
      <c r="K966" s="104"/>
      <c r="L966" s="104"/>
      <c r="M966" s="104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124"/>
      <c r="F967" s="104"/>
      <c r="G967" s="3"/>
      <c r="H967" s="3"/>
      <c r="I967" s="124"/>
      <c r="J967" s="3"/>
      <c r="K967" s="104"/>
      <c r="L967" s="104"/>
      <c r="M967" s="104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124"/>
      <c r="F968" s="104"/>
      <c r="G968" s="3"/>
      <c r="H968" s="3"/>
      <c r="I968" s="124"/>
      <c r="J968" s="3"/>
      <c r="K968" s="104"/>
      <c r="L968" s="104"/>
      <c r="M968" s="104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124"/>
      <c r="F969" s="104"/>
      <c r="G969" s="3"/>
      <c r="H969" s="3"/>
      <c r="I969" s="124"/>
      <c r="J969" s="3"/>
      <c r="K969" s="104"/>
      <c r="L969" s="104"/>
      <c r="M969" s="104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124"/>
      <c r="F970" s="104"/>
      <c r="G970" s="3"/>
      <c r="H970" s="3"/>
      <c r="I970" s="124"/>
      <c r="J970" s="3"/>
      <c r="K970" s="104"/>
      <c r="L970" s="104"/>
      <c r="M970" s="104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124"/>
      <c r="F971" s="104"/>
      <c r="G971" s="3"/>
      <c r="H971" s="3"/>
      <c r="I971" s="124"/>
      <c r="J971" s="3"/>
      <c r="K971" s="104"/>
      <c r="L971" s="104"/>
      <c r="M971" s="104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124"/>
      <c r="F972" s="104"/>
      <c r="G972" s="3"/>
      <c r="H972" s="3"/>
      <c r="I972" s="124"/>
      <c r="J972" s="3"/>
      <c r="K972" s="104"/>
      <c r="L972" s="104"/>
      <c r="M972" s="104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124"/>
      <c r="F973" s="104"/>
      <c r="G973" s="3"/>
      <c r="H973" s="3"/>
      <c r="I973" s="124"/>
      <c r="J973" s="3"/>
      <c r="K973" s="104"/>
      <c r="L973" s="104"/>
      <c r="M973" s="104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124"/>
      <c r="F974" s="104"/>
      <c r="G974" s="3"/>
      <c r="H974" s="3"/>
      <c r="I974" s="124"/>
      <c r="J974" s="3"/>
      <c r="K974" s="104"/>
      <c r="L974" s="104"/>
      <c r="M974" s="104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124"/>
      <c r="F975" s="104"/>
      <c r="G975" s="3"/>
      <c r="H975" s="3"/>
      <c r="I975" s="124"/>
      <c r="J975" s="3"/>
      <c r="K975" s="104"/>
      <c r="L975" s="104"/>
      <c r="M975" s="104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124"/>
      <c r="F976" s="104"/>
      <c r="G976" s="3"/>
      <c r="H976" s="3"/>
      <c r="I976" s="124"/>
      <c r="J976" s="3"/>
      <c r="K976" s="104"/>
      <c r="L976" s="104"/>
      <c r="M976" s="104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124"/>
      <c r="F977" s="104"/>
      <c r="G977" s="3"/>
      <c r="H977" s="3"/>
      <c r="I977" s="124"/>
      <c r="J977" s="3"/>
      <c r="K977" s="104"/>
      <c r="L977" s="104"/>
      <c r="M977" s="104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124"/>
      <c r="F978" s="104"/>
      <c r="G978" s="3"/>
      <c r="H978" s="3"/>
      <c r="I978" s="124"/>
      <c r="J978" s="3"/>
      <c r="K978" s="104"/>
      <c r="L978" s="104"/>
      <c r="M978" s="104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124"/>
      <c r="F979" s="104"/>
      <c r="G979" s="3"/>
      <c r="H979" s="3"/>
      <c r="I979" s="124"/>
      <c r="J979" s="3"/>
      <c r="K979" s="104"/>
      <c r="L979" s="104"/>
      <c r="M979" s="104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124"/>
      <c r="F980" s="104"/>
      <c r="G980" s="3"/>
      <c r="H980" s="3"/>
      <c r="I980" s="124"/>
      <c r="J980" s="3"/>
      <c r="K980" s="104"/>
      <c r="L980" s="104"/>
      <c r="M980" s="104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124"/>
      <c r="F981" s="104"/>
      <c r="G981" s="3"/>
      <c r="H981" s="3"/>
      <c r="I981" s="124"/>
      <c r="J981" s="3"/>
      <c r="K981" s="104"/>
      <c r="L981" s="104"/>
      <c r="M981" s="104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124"/>
      <c r="F982" s="104"/>
      <c r="G982" s="3"/>
      <c r="H982" s="3"/>
      <c r="I982" s="124"/>
      <c r="J982" s="3"/>
      <c r="K982" s="104"/>
      <c r="L982" s="104"/>
      <c r="M982" s="104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124"/>
      <c r="F983" s="104"/>
      <c r="G983" s="3"/>
      <c r="H983" s="3"/>
      <c r="I983" s="124"/>
      <c r="J983" s="3"/>
      <c r="K983" s="104"/>
      <c r="L983" s="104"/>
      <c r="M983" s="104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124"/>
      <c r="F984" s="104"/>
      <c r="G984" s="3"/>
      <c r="H984" s="3"/>
      <c r="I984" s="124"/>
      <c r="J984" s="3"/>
      <c r="K984" s="104"/>
      <c r="L984" s="104"/>
      <c r="M984" s="104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124"/>
      <c r="F985" s="104"/>
      <c r="G985" s="3"/>
      <c r="H985" s="3"/>
      <c r="I985" s="124"/>
      <c r="J985" s="3"/>
      <c r="K985" s="104"/>
      <c r="L985" s="104"/>
      <c r="M985" s="104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124"/>
      <c r="F986" s="104"/>
      <c r="G986" s="3"/>
      <c r="H986" s="3"/>
      <c r="I986" s="124"/>
      <c r="J986" s="3"/>
      <c r="K986" s="104"/>
      <c r="L986" s="104"/>
      <c r="M986" s="104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124"/>
      <c r="F987" s="104"/>
      <c r="G987" s="3"/>
      <c r="H987" s="3"/>
      <c r="I987" s="124"/>
      <c r="J987" s="3"/>
      <c r="K987" s="104"/>
      <c r="L987" s="104"/>
      <c r="M987" s="104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</sheetData>
  <mergeCells count="350"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J45:J47"/>
    <mergeCell ref="K45:K47"/>
    <mergeCell ref="L45:L47"/>
    <mergeCell ref="M45:M47"/>
    <mergeCell ref="N45:N47"/>
    <mergeCell ref="O45:O47"/>
    <mergeCell ref="P45:P47"/>
    <mergeCell ref="Q45:Q47"/>
    <mergeCell ref="A41:T41"/>
    <mergeCell ref="A42:T42"/>
    <mergeCell ref="B44:D44"/>
    <mergeCell ref="E44:N44"/>
    <mergeCell ref="O44:R44"/>
    <mergeCell ref="S44:S47"/>
    <mergeCell ref="T44:T47"/>
    <mergeCell ref="R45:R47"/>
    <mergeCell ref="F45:F47"/>
    <mergeCell ref="G45:G47"/>
    <mergeCell ref="H45:H47"/>
    <mergeCell ref="I45:I47"/>
    <mergeCell ref="A79:T79"/>
    <mergeCell ref="A80:T80"/>
    <mergeCell ref="B82:D82"/>
    <mergeCell ref="E82:N82"/>
    <mergeCell ref="O82:R82"/>
    <mergeCell ref="Q83:Q85"/>
    <mergeCell ref="R83:R85"/>
    <mergeCell ref="J83:J85"/>
    <mergeCell ref="K83:K85"/>
    <mergeCell ref="L83:L85"/>
    <mergeCell ref="M83:M85"/>
    <mergeCell ref="N83:N85"/>
    <mergeCell ref="O83:O85"/>
    <mergeCell ref="P83:P85"/>
    <mergeCell ref="A4:A6"/>
    <mergeCell ref="B5:B7"/>
    <mergeCell ref="A44:A46"/>
    <mergeCell ref="A82:A84"/>
    <mergeCell ref="B83:B85"/>
    <mergeCell ref="A114:A116"/>
    <mergeCell ref="Q5:Q7"/>
    <mergeCell ref="R5:R7"/>
    <mergeCell ref="A1:T1"/>
    <mergeCell ref="A2:T2"/>
    <mergeCell ref="B4:D4"/>
    <mergeCell ref="E4:N4"/>
    <mergeCell ref="O4:R4"/>
    <mergeCell ref="S4:S7"/>
    <mergeCell ref="T4:T7"/>
    <mergeCell ref="B45:B47"/>
    <mergeCell ref="C45:C47"/>
    <mergeCell ref="D45:D47"/>
    <mergeCell ref="E45:E47"/>
    <mergeCell ref="S82:S85"/>
    <mergeCell ref="T82:T85"/>
    <mergeCell ref="C83:C85"/>
    <mergeCell ref="D83:D85"/>
    <mergeCell ref="E83:E85"/>
    <mergeCell ref="F83:F85"/>
    <mergeCell ref="G83:G85"/>
    <mergeCell ref="H83:H85"/>
    <mergeCell ref="I83:I85"/>
    <mergeCell ref="B115:B117"/>
    <mergeCell ref="C115:C117"/>
    <mergeCell ref="D115:D117"/>
    <mergeCell ref="E115:E117"/>
    <mergeCell ref="F115:F117"/>
    <mergeCell ref="G115:G117"/>
    <mergeCell ref="H115:H117"/>
    <mergeCell ref="I115:I117"/>
    <mergeCell ref="J115:J117"/>
    <mergeCell ref="K115:K117"/>
    <mergeCell ref="L115:L117"/>
    <mergeCell ref="M115:M117"/>
    <mergeCell ref="N115:N117"/>
    <mergeCell ref="O115:O117"/>
    <mergeCell ref="P115:P117"/>
    <mergeCell ref="Q115:Q117"/>
    <mergeCell ref="A111:T111"/>
    <mergeCell ref="A112:T112"/>
    <mergeCell ref="B114:D114"/>
    <mergeCell ref="E114:N114"/>
    <mergeCell ref="O114:R114"/>
    <mergeCell ref="S114:S117"/>
    <mergeCell ref="T114:T117"/>
    <mergeCell ref="S152:S155"/>
    <mergeCell ref="T152:T155"/>
    <mergeCell ref="B153:B155"/>
    <mergeCell ref="C153:C155"/>
    <mergeCell ref="D153:D155"/>
    <mergeCell ref="E153:E155"/>
    <mergeCell ref="F153:F155"/>
    <mergeCell ref="G153:G155"/>
    <mergeCell ref="H153:H155"/>
    <mergeCell ref="P153:P155"/>
    <mergeCell ref="Q153:Q155"/>
    <mergeCell ref="R153:R155"/>
    <mergeCell ref="I153:I155"/>
    <mergeCell ref="J153:J155"/>
    <mergeCell ref="K153:K155"/>
    <mergeCell ref="L153:L155"/>
    <mergeCell ref="M153:M155"/>
    <mergeCell ref="N153:N155"/>
    <mergeCell ref="O153:O155"/>
    <mergeCell ref="R115:R117"/>
    <mergeCell ref="A149:T149"/>
    <mergeCell ref="A150:T150"/>
    <mergeCell ref="A152:A154"/>
    <mergeCell ref="B152:D152"/>
    <mergeCell ref="E152:N152"/>
    <mergeCell ref="O152:R152"/>
    <mergeCell ref="C353:C355"/>
    <mergeCell ref="D353:D355"/>
    <mergeCell ref="E353:E355"/>
    <mergeCell ref="F353:F355"/>
    <mergeCell ref="G353:G355"/>
    <mergeCell ref="H353:H355"/>
    <mergeCell ref="I353:I355"/>
    <mergeCell ref="J353:J355"/>
    <mergeCell ref="K353:K355"/>
    <mergeCell ref="L353:L355"/>
    <mergeCell ref="M353:M355"/>
    <mergeCell ref="N353:N355"/>
    <mergeCell ref="O353:O355"/>
    <mergeCell ref="P353:P355"/>
    <mergeCell ref="J388:J390"/>
    <mergeCell ref="K388:K390"/>
    <mergeCell ref="L388:L390"/>
    <mergeCell ref="M388:M390"/>
    <mergeCell ref="N388:N390"/>
    <mergeCell ref="O388:O390"/>
    <mergeCell ref="P388:P390"/>
    <mergeCell ref="Q388:Q390"/>
    <mergeCell ref="A384:T384"/>
    <mergeCell ref="A385:T385"/>
    <mergeCell ref="B387:D387"/>
    <mergeCell ref="E387:N387"/>
    <mergeCell ref="O387:R387"/>
    <mergeCell ref="S387:S390"/>
    <mergeCell ref="T387:T390"/>
    <mergeCell ref="R388:R390"/>
    <mergeCell ref="F388:F390"/>
    <mergeCell ref="G388:G390"/>
    <mergeCell ref="H388:H390"/>
    <mergeCell ref="I388:I390"/>
    <mergeCell ref="A421:T421"/>
    <mergeCell ref="A422:T422"/>
    <mergeCell ref="B424:D424"/>
    <mergeCell ref="E424:N424"/>
    <mergeCell ref="O424:R424"/>
    <mergeCell ref="Q425:Q427"/>
    <mergeCell ref="R425:R427"/>
    <mergeCell ref="J425:J427"/>
    <mergeCell ref="K425:K427"/>
    <mergeCell ref="L425:L427"/>
    <mergeCell ref="M425:M427"/>
    <mergeCell ref="N425:N427"/>
    <mergeCell ref="O425:O427"/>
    <mergeCell ref="P425:P427"/>
    <mergeCell ref="A352:A354"/>
    <mergeCell ref="B353:B355"/>
    <mergeCell ref="A387:A389"/>
    <mergeCell ref="A424:A426"/>
    <mergeCell ref="B425:B427"/>
    <mergeCell ref="A459:A461"/>
    <mergeCell ref="Q353:Q355"/>
    <mergeCell ref="R353:R355"/>
    <mergeCell ref="A349:T349"/>
    <mergeCell ref="A350:T350"/>
    <mergeCell ref="B352:D352"/>
    <mergeCell ref="E352:N352"/>
    <mergeCell ref="O352:R352"/>
    <mergeCell ref="S352:S355"/>
    <mergeCell ref="T352:T355"/>
    <mergeCell ref="B388:B390"/>
    <mergeCell ref="C388:C390"/>
    <mergeCell ref="D388:D390"/>
    <mergeCell ref="E388:E390"/>
    <mergeCell ref="S424:S427"/>
    <mergeCell ref="T424:T427"/>
    <mergeCell ref="C425:C427"/>
    <mergeCell ref="D425:D427"/>
    <mergeCell ref="E425:E427"/>
    <mergeCell ref="F425:F427"/>
    <mergeCell ref="G425:G427"/>
    <mergeCell ref="H425:H427"/>
    <mergeCell ref="I425:I427"/>
    <mergeCell ref="P460:P462"/>
    <mergeCell ref="Q460:Q462"/>
    <mergeCell ref="A456:T456"/>
    <mergeCell ref="A457:T457"/>
    <mergeCell ref="B459:D459"/>
    <mergeCell ref="E459:N459"/>
    <mergeCell ref="O459:R459"/>
    <mergeCell ref="S459:S462"/>
    <mergeCell ref="T459:T462"/>
    <mergeCell ref="R460:R462"/>
    <mergeCell ref="B460:B462"/>
    <mergeCell ref="C460:C462"/>
    <mergeCell ref="D460:D462"/>
    <mergeCell ref="E460:E462"/>
    <mergeCell ref="F460:F462"/>
    <mergeCell ref="G460:G462"/>
    <mergeCell ref="H460:H462"/>
    <mergeCell ref="I460:I462"/>
    <mergeCell ref="J460:J462"/>
    <mergeCell ref="K460:K462"/>
    <mergeCell ref="L460:L462"/>
    <mergeCell ref="M460:M462"/>
    <mergeCell ref="N460:N462"/>
    <mergeCell ref="O460:O462"/>
    <mergeCell ref="C188:C190"/>
    <mergeCell ref="D188:D190"/>
    <mergeCell ref="E188:E190"/>
    <mergeCell ref="F188:F190"/>
    <mergeCell ref="G188:G190"/>
    <mergeCell ref="H188:H190"/>
    <mergeCell ref="I188:I190"/>
    <mergeCell ref="J188:J190"/>
    <mergeCell ref="K188:K190"/>
    <mergeCell ref="L188:L190"/>
    <mergeCell ref="M188:M190"/>
    <mergeCell ref="N188:N190"/>
    <mergeCell ref="O188:O190"/>
    <mergeCell ref="P188:P190"/>
    <mergeCell ref="J220:J222"/>
    <mergeCell ref="K220:K222"/>
    <mergeCell ref="L220:L222"/>
    <mergeCell ref="M220:M222"/>
    <mergeCell ref="N220:N222"/>
    <mergeCell ref="O220:O222"/>
    <mergeCell ref="P220:P222"/>
    <mergeCell ref="Q220:Q222"/>
    <mergeCell ref="A216:T216"/>
    <mergeCell ref="A217:T217"/>
    <mergeCell ref="B219:D219"/>
    <mergeCell ref="E219:N219"/>
    <mergeCell ref="O219:R219"/>
    <mergeCell ref="S219:S222"/>
    <mergeCell ref="T219:T222"/>
    <mergeCell ref="R220:R222"/>
    <mergeCell ref="F220:F222"/>
    <mergeCell ref="G220:G222"/>
    <mergeCell ref="H220:H222"/>
    <mergeCell ref="I220:I222"/>
    <mergeCell ref="A250:T250"/>
    <mergeCell ref="A251:T251"/>
    <mergeCell ref="B253:D253"/>
    <mergeCell ref="E253:N253"/>
    <mergeCell ref="O253:R253"/>
    <mergeCell ref="Q254:Q256"/>
    <mergeCell ref="R254:R256"/>
    <mergeCell ref="J254:J256"/>
    <mergeCell ref="K254:K256"/>
    <mergeCell ref="L254:L256"/>
    <mergeCell ref="M254:M256"/>
    <mergeCell ref="N254:N256"/>
    <mergeCell ref="O254:O256"/>
    <mergeCell ref="P254:P256"/>
    <mergeCell ref="A187:A189"/>
    <mergeCell ref="B188:B190"/>
    <mergeCell ref="A219:A221"/>
    <mergeCell ref="A253:A255"/>
    <mergeCell ref="B254:B256"/>
    <mergeCell ref="A285:A287"/>
    <mergeCell ref="Q188:Q190"/>
    <mergeCell ref="R188:R190"/>
    <mergeCell ref="A184:T184"/>
    <mergeCell ref="A185:T185"/>
    <mergeCell ref="B187:D187"/>
    <mergeCell ref="E187:N187"/>
    <mergeCell ref="O187:R187"/>
    <mergeCell ref="S187:S190"/>
    <mergeCell ref="T187:T190"/>
    <mergeCell ref="B220:B222"/>
    <mergeCell ref="C220:C222"/>
    <mergeCell ref="D220:D222"/>
    <mergeCell ref="E220:E222"/>
    <mergeCell ref="S253:S256"/>
    <mergeCell ref="T253:T256"/>
    <mergeCell ref="C254:C256"/>
    <mergeCell ref="D254:D256"/>
    <mergeCell ref="E254:E256"/>
    <mergeCell ref="F254:F256"/>
    <mergeCell ref="G254:G256"/>
    <mergeCell ref="H254:H256"/>
    <mergeCell ref="I254:I256"/>
    <mergeCell ref="B286:B288"/>
    <mergeCell ref="C286:C288"/>
    <mergeCell ref="D286:D288"/>
    <mergeCell ref="E286:E288"/>
    <mergeCell ref="F286:F288"/>
    <mergeCell ref="G286:G288"/>
    <mergeCell ref="H286:H288"/>
    <mergeCell ref="I286:I288"/>
    <mergeCell ref="J286:J288"/>
    <mergeCell ref="K286:K288"/>
    <mergeCell ref="L286:L288"/>
    <mergeCell ref="M286:M288"/>
    <mergeCell ref="N286:N288"/>
    <mergeCell ref="O286:O288"/>
    <mergeCell ref="P286:P288"/>
    <mergeCell ref="Q286:Q288"/>
    <mergeCell ref="A282:T282"/>
    <mergeCell ref="A283:T283"/>
    <mergeCell ref="B285:D285"/>
    <mergeCell ref="E285:N285"/>
    <mergeCell ref="O285:R285"/>
    <mergeCell ref="S285:S288"/>
    <mergeCell ref="T285:T288"/>
    <mergeCell ref="S320:S323"/>
    <mergeCell ref="T320:T323"/>
    <mergeCell ref="B321:B323"/>
    <mergeCell ref="C321:C323"/>
    <mergeCell ref="D321:D323"/>
    <mergeCell ref="E321:E323"/>
    <mergeCell ref="F321:F323"/>
    <mergeCell ref="G321:G323"/>
    <mergeCell ref="H321:H323"/>
    <mergeCell ref="P321:P323"/>
    <mergeCell ref="Q321:Q323"/>
    <mergeCell ref="R321:R323"/>
    <mergeCell ref="I321:I323"/>
    <mergeCell ref="J321:J323"/>
    <mergeCell ref="K321:K323"/>
    <mergeCell ref="L321:L323"/>
    <mergeCell ref="M321:M323"/>
    <mergeCell ref="N321:N323"/>
    <mergeCell ref="O321:O323"/>
    <mergeCell ref="R286:R288"/>
    <mergeCell ref="A317:T317"/>
    <mergeCell ref="A318:T318"/>
    <mergeCell ref="A320:A322"/>
    <mergeCell ref="B320:D320"/>
    <mergeCell ref="E320:N320"/>
    <mergeCell ref="O320:R3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6" t="s">
        <v>668</v>
      </c>
      <c r="E1" s="127"/>
      <c r="F1" s="127"/>
      <c r="G1" s="127"/>
      <c r="H1" s="127"/>
      <c r="I1" s="127"/>
      <c r="J1" s="127"/>
    </row>
    <row r="2">
      <c r="A2" s="128" t="s">
        <v>669</v>
      </c>
      <c r="E2" s="127"/>
      <c r="F2" s="127"/>
      <c r="G2" s="127"/>
      <c r="H2" s="127"/>
      <c r="I2" s="127"/>
      <c r="J2" s="127"/>
    </row>
    <row r="3">
      <c r="A3" s="127"/>
      <c r="B3" s="127"/>
      <c r="C3" s="127"/>
      <c r="D3" s="127"/>
      <c r="E3" s="127"/>
      <c r="F3" s="127"/>
      <c r="G3" s="127"/>
      <c r="H3" s="127"/>
      <c r="I3" s="127"/>
      <c r="J3" s="127"/>
    </row>
    <row r="4">
      <c r="A4" s="128" t="s">
        <v>670</v>
      </c>
    </row>
    <row r="5">
      <c r="A5" s="129"/>
      <c r="B5" s="129"/>
      <c r="C5" s="129"/>
      <c r="D5" s="129"/>
      <c r="E5" s="129"/>
      <c r="F5" s="129"/>
      <c r="G5" s="129"/>
      <c r="H5" s="129"/>
      <c r="I5" s="129"/>
      <c r="J5" s="129"/>
    </row>
    <row r="6">
      <c r="A6" s="129"/>
      <c r="B6" s="129"/>
      <c r="C6" s="129"/>
      <c r="D6" s="129"/>
      <c r="E6" s="129"/>
      <c r="F6" s="129"/>
      <c r="G6" s="129"/>
      <c r="H6" s="129"/>
      <c r="I6" s="129"/>
      <c r="J6" s="129"/>
    </row>
    <row r="7">
      <c r="A7" s="130" t="s">
        <v>671</v>
      </c>
      <c r="B7" s="131" t="s">
        <v>672</v>
      </c>
      <c r="C7" s="131" t="s">
        <v>673</v>
      </c>
      <c r="D7" s="131" t="s">
        <v>674</v>
      </c>
      <c r="E7" s="131" t="s">
        <v>675</v>
      </c>
      <c r="F7" s="131" t="s">
        <v>676</v>
      </c>
      <c r="G7" s="131" t="s">
        <v>677</v>
      </c>
      <c r="H7" s="131" t="s">
        <v>678</v>
      </c>
      <c r="I7" s="131" t="s">
        <v>679</v>
      </c>
      <c r="J7" s="131" t="s">
        <v>680</v>
      </c>
    </row>
    <row r="8">
      <c r="A8" s="132">
        <v>45667.0</v>
      </c>
      <c r="B8" s="133">
        <f>'Lớp 10'!S8</f>
        <v>299.5</v>
      </c>
      <c r="C8" s="133">
        <f>'Lớp 10'!S40</f>
        <v>301.5</v>
      </c>
      <c r="D8" s="133">
        <f>'Lớp 10'!S74</f>
        <v>297.5</v>
      </c>
      <c r="E8" s="133">
        <f>'Lớp 10'!S106</f>
        <v>297</v>
      </c>
      <c r="F8" s="133">
        <f>'Lớp 10'!S140</f>
        <v>301</v>
      </c>
      <c r="G8" s="133">
        <f>'Lớp 10'!S167</f>
        <v>297</v>
      </c>
      <c r="H8" s="133">
        <f>'Lớp 10'!S200</f>
        <v>300</v>
      </c>
      <c r="I8" s="134">
        <f t="shared" ref="I8:I19" si="1">ROUND(AVERAGE(B8:H8),2)</f>
        <v>299.07</v>
      </c>
      <c r="J8" s="135">
        <f t="shared" ref="J8:J19" si="2">RANK(I8,$I$8:$I$19,0)</f>
        <v>7</v>
      </c>
    </row>
    <row r="9">
      <c r="A9" s="132">
        <v>45698.0</v>
      </c>
      <c r="B9" s="133">
        <f>'Lớp 10'!S9</f>
        <v>299</v>
      </c>
      <c r="C9" s="133">
        <f>'Lớp 10'!S41</f>
        <v>302</v>
      </c>
      <c r="D9" s="133">
        <f>'Lớp 10'!S75</f>
        <v>300</v>
      </c>
      <c r="E9" s="133">
        <f>'Lớp 10'!S107</f>
        <v>301</v>
      </c>
      <c r="F9" s="133">
        <f>'Lớp 10'!S141</f>
        <v>301</v>
      </c>
      <c r="G9" s="133">
        <f>'Lớp 10'!S168</f>
        <v>298.5</v>
      </c>
      <c r="H9" s="133">
        <f>'Lớp 10'!S201</f>
        <v>299</v>
      </c>
      <c r="I9" s="134">
        <f t="shared" si="1"/>
        <v>300.07</v>
      </c>
      <c r="J9" s="135">
        <f t="shared" si="2"/>
        <v>1</v>
      </c>
    </row>
    <row r="10">
      <c r="A10" s="132">
        <v>45726.0</v>
      </c>
      <c r="B10" s="133">
        <f>'Lớp 10'!S10</f>
        <v>299.5</v>
      </c>
      <c r="C10" s="133">
        <f>'Lớp 10'!S42</f>
        <v>300.5</v>
      </c>
      <c r="D10" s="133">
        <f>'Lớp 10'!S76</f>
        <v>298</v>
      </c>
      <c r="E10" s="133">
        <f>'Lớp 10'!S108</f>
        <v>296</v>
      </c>
      <c r="F10" s="133">
        <f>'Lớp 10'!S142</f>
        <v>299</v>
      </c>
      <c r="G10" s="133">
        <f>'Lớp 10'!S169</f>
        <v>297</v>
      </c>
      <c r="H10" s="133">
        <f>'Lớp 10'!S202</f>
        <v>300</v>
      </c>
      <c r="I10" s="134">
        <f t="shared" si="1"/>
        <v>298.57</v>
      </c>
      <c r="J10" s="135">
        <f t="shared" si="2"/>
        <v>12</v>
      </c>
    </row>
    <row r="11">
      <c r="A11" s="132">
        <v>45757.0</v>
      </c>
      <c r="B11" s="133">
        <f>'Lớp 10'!S11</f>
        <v>297.5</v>
      </c>
      <c r="C11" s="133">
        <f>'Lớp 10'!S43</f>
        <v>301.5</v>
      </c>
      <c r="D11" s="133">
        <f>'Lớp 10'!S77</f>
        <v>299.5</v>
      </c>
      <c r="E11" s="133">
        <f>'Lớp 10'!S109</f>
        <v>299.5</v>
      </c>
      <c r="F11" s="133">
        <f>'Lớp 10'!S143</f>
        <v>299.5</v>
      </c>
      <c r="G11" s="133">
        <f>'Lớp 10'!S170</f>
        <v>298.5</v>
      </c>
      <c r="H11" s="133">
        <f>'Lớp 10'!S203</f>
        <v>299.5</v>
      </c>
      <c r="I11" s="134">
        <f t="shared" si="1"/>
        <v>299.36</v>
      </c>
      <c r="J11" s="135">
        <f t="shared" si="2"/>
        <v>6</v>
      </c>
    </row>
    <row r="12">
      <c r="A12" s="132">
        <v>45787.0</v>
      </c>
      <c r="B12" s="133">
        <f>'Lớp 10'!S12</f>
        <v>300</v>
      </c>
      <c r="C12" s="133">
        <f>'Lớp 10'!S44</f>
        <v>300.5</v>
      </c>
      <c r="D12" s="133">
        <f>'Lớp 10'!S78</f>
        <v>297.5</v>
      </c>
      <c r="E12" s="133">
        <f>'Lớp 10'!S110</f>
        <v>296.5</v>
      </c>
      <c r="F12" s="133">
        <f>'Lớp 10'!S144</f>
        <v>299.5</v>
      </c>
      <c r="G12" s="133">
        <f>'Lớp 10'!S171</f>
        <v>299.5</v>
      </c>
      <c r="H12" s="133">
        <f>'Lớp 10'!S204</f>
        <v>299</v>
      </c>
      <c r="I12" s="134">
        <f t="shared" si="1"/>
        <v>298.93</v>
      </c>
      <c r="J12" s="135">
        <f t="shared" si="2"/>
        <v>9</v>
      </c>
    </row>
    <row r="13">
      <c r="A13" s="132">
        <v>45818.0</v>
      </c>
      <c r="B13" s="133">
        <f>'Lớp 10'!S13</f>
        <v>299.5</v>
      </c>
      <c r="C13" s="133">
        <f>'Lớp 10'!S45</f>
        <v>298</v>
      </c>
      <c r="D13" s="133">
        <f>'Lớp 10'!S79</f>
        <v>299.5</v>
      </c>
      <c r="E13" s="133">
        <f>'Lớp 10'!S111</f>
        <v>299</v>
      </c>
      <c r="F13" s="133">
        <f>'Lớp 10'!S145</f>
        <v>300.5</v>
      </c>
      <c r="G13" s="133">
        <f>'Lớp 10'!S172</f>
        <v>298</v>
      </c>
      <c r="H13" s="133">
        <f>'Lớp 10'!S205</f>
        <v>297</v>
      </c>
      <c r="I13" s="134">
        <f t="shared" si="1"/>
        <v>298.79</v>
      </c>
      <c r="J13" s="135">
        <f t="shared" si="2"/>
        <v>11</v>
      </c>
    </row>
    <row r="14">
      <c r="A14" s="132">
        <v>45848.0</v>
      </c>
      <c r="B14" s="133">
        <f>'Lớp 10'!S14</f>
        <v>300</v>
      </c>
      <c r="C14" s="133">
        <f>'Lớp 10'!S46</f>
        <v>301</v>
      </c>
      <c r="D14" s="133">
        <f>'Lớp 10'!S80</f>
        <v>299</v>
      </c>
      <c r="E14" s="133">
        <f>'Lớp 10'!S112</f>
        <v>301</v>
      </c>
      <c r="F14" s="133">
        <f>'Lớp 10'!S146</f>
        <v>299</v>
      </c>
      <c r="G14" s="133">
        <f>'Lớp 10'!S173</f>
        <v>299.5</v>
      </c>
      <c r="H14" s="133">
        <f>'Lớp 10'!S206</f>
        <v>300</v>
      </c>
      <c r="I14" s="134">
        <f t="shared" si="1"/>
        <v>299.93</v>
      </c>
      <c r="J14" s="135">
        <f t="shared" si="2"/>
        <v>3</v>
      </c>
    </row>
    <row r="15">
      <c r="A15" s="132">
        <v>45879.0</v>
      </c>
      <c r="B15" s="133">
        <f>'Lớp 10'!S15</f>
        <v>300</v>
      </c>
      <c r="C15" s="133">
        <f>'Lớp 10'!S47</f>
        <v>302.5</v>
      </c>
      <c r="D15" s="133">
        <f>'Lớp 10'!S81</f>
        <v>299.5</v>
      </c>
      <c r="E15" s="133">
        <f>'Lớp 10'!S113</f>
        <v>296</v>
      </c>
      <c r="F15" s="133">
        <f>'Lớp 10'!S147</f>
        <v>301</v>
      </c>
      <c r="G15" s="133">
        <f>'Lớp 10'!S174</f>
        <v>300</v>
      </c>
      <c r="H15" s="133">
        <f>'Lớp 10'!S207</f>
        <v>300</v>
      </c>
      <c r="I15" s="134">
        <f t="shared" si="1"/>
        <v>299.86</v>
      </c>
      <c r="J15" s="135">
        <f t="shared" si="2"/>
        <v>4</v>
      </c>
    </row>
    <row r="16">
      <c r="A16" s="132">
        <v>45910.0</v>
      </c>
      <c r="B16" s="133">
        <f>'Lớp 10'!S16</f>
        <v>300</v>
      </c>
      <c r="C16" s="133">
        <f>'Lớp 10'!S48</f>
        <v>298.5</v>
      </c>
      <c r="D16" s="133">
        <f>'Lớp 10'!S82</f>
        <v>296</v>
      </c>
      <c r="E16" s="133">
        <f>'Lớp 10'!S114</f>
        <v>300</v>
      </c>
      <c r="F16" s="133">
        <f>'Lớp 10'!S148</f>
        <v>300.5</v>
      </c>
      <c r="G16" s="133">
        <f>'Lớp 10'!S175</f>
        <v>298</v>
      </c>
      <c r="H16" s="133">
        <f>'Lớp 10'!S208</f>
        <v>300</v>
      </c>
      <c r="I16" s="134">
        <f t="shared" si="1"/>
        <v>299</v>
      </c>
      <c r="J16" s="135">
        <f t="shared" si="2"/>
        <v>8</v>
      </c>
    </row>
    <row r="17">
      <c r="A17" s="132">
        <v>45940.0</v>
      </c>
      <c r="B17" s="133">
        <f>'Lớp 10'!S17</f>
        <v>299.5</v>
      </c>
      <c r="C17" s="133">
        <f>'Lớp 10'!S49</f>
        <v>302</v>
      </c>
      <c r="D17" s="133">
        <f>'Lớp 10'!S83</f>
        <v>299.5</v>
      </c>
      <c r="E17" s="133">
        <f>'Lớp 10'!S115</f>
        <v>302.5</v>
      </c>
      <c r="F17" s="133">
        <f>'Lớp 10'!S149</f>
        <v>298.5</v>
      </c>
      <c r="G17" s="133">
        <f>'Lớp 10'!S176</f>
        <v>299</v>
      </c>
      <c r="H17" s="133">
        <f>'Lớp 10'!S209</f>
        <v>299</v>
      </c>
      <c r="I17" s="134">
        <f t="shared" si="1"/>
        <v>300</v>
      </c>
      <c r="J17" s="135">
        <f t="shared" si="2"/>
        <v>2</v>
      </c>
    </row>
    <row r="18">
      <c r="A18" s="132">
        <v>45971.0</v>
      </c>
      <c r="B18" s="133">
        <f>'Lớp 10'!S18</f>
        <v>299</v>
      </c>
      <c r="C18" s="133">
        <f>'Lớp 10'!S50</f>
        <v>298</v>
      </c>
      <c r="D18" s="133">
        <f>'Lớp 10'!S84</f>
        <v>297.5</v>
      </c>
      <c r="E18" s="133">
        <f>'Lớp 10'!S116</f>
        <v>299</v>
      </c>
      <c r="F18" s="133">
        <f>'Lớp 10'!S150</f>
        <v>300</v>
      </c>
      <c r="G18" s="133">
        <f>'Lớp 10'!S177</f>
        <v>299.5</v>
      </c>
      <c r="H18" s="133">
        <f>'Lớp 10'!S210</f>
        <v>299.5</v>
      </c>
      <c r="I18" s="134">
        <f t="shared" si="1"/>
        <v>298.93</v>
      </c>
      <c r="J18" s="135">
        <f t="shared" si="2"/>
        <v>9</v>
      </c>
    </row>
    <row r="19">
      <c r="A19" s="132">
        <v>46001.0</v>
      </c>
      <c r="B19" s="133">
        <f>'Lớp 10'!S19</f>
        <v>300.5</v>
      </c>
      <c r="C19" s="133">
        <f>'Lớp 10'!S51</f>
        <v>300</v>
      </c>
      <c r="D19" s="133">
        <f>'Lớp 10'!S85</f>
        <v>298.5</v>
      </c>
      <c r="E19" s="133">
        <f>'Lớp 10'!S117</f>
        <v>298.5</v>
      </c>
      <c r="F19" s="133">
        <f>'Lớp 10'!S151</f>
        <v>301</v>
      </c>
      <c r="G19" s="133">
        <f>'Lớp 10'!S178</f>
        <v>299.5</v>
      </c>
      <c r="H19" s="133">
        <f>'Lớp 10'!S211</f>
        <v>300</v>
      </c>
      <c r="I19" s="134">
        <f t="shared" si="1"/>
        <v>299.71</v>
      </c>
      <c r="J19" s="135">
        <f t="shared" si="2"/>
        <v>5</v>
      </c>
    </row>
    <row r="20">
      <c r="A20" s="129"/>
      <c r="B20" s="129"/>
      <c r="C20" s="129"/>
      <c r="D20" s="129"/>
      <c r="E20" s="129"/>
      <c r="F20" s="129"/>
      <c r="G20" s="129"/>
      <c r="H20" s="129"/>
      <c r="I20" s="129"/>
      <c r="J20" s="129"/>
    </row>
    <row r="21">
      <c r="A21" s="129"/>
      <c r="B21" s="129"/>
      <c r="C21" s="129"/>
      <c r="D21" s="129"/>
      <c r="E21" s="136" t="s">
        <v>681</v>
      </c>
    </row>
    <row r="22">
      <c r="A22" s="128" t="s">
        <v>682</v>
      </c>
      <c r="D22" s="129"/>
      <c r="E22" s="128" t="s">
        <v>683</v>
      </c>
    </row>
    <row r="23">
      <c r="A23" s="128" t="s">
        <v>684</v>
      </c>
      <c r="D23" s="129"/>
      <c r="E23" s="128" t="s">
        <v>685</v>
      </c>
    </row>
    <row r="24">
      <c r="A24" s="129"/>
      <c r="B24" s="129"/>
      <c r="C24" s="129"/>
      <c r="D24" s="129"/>
      <c r="E24" s="129"/>
      <c r="F24" s="129"/>
      <c r="G24" s="129"/>
      <c r="H24" s="129"/>
      <c r="I24" s="129"/>
      <c r="J24" s="129"/>
    </row>
    <row r="25">
      <c r="A25" s="129"/>
      <c r="B25" s="129"/>
      <c r="C25" s="129"/>
      <c r="D25" s="129"/>
      <c r="E25" s="129"/>
      <c r="F25" s="129"/>
      <c r="G25" s="129"/>
      <c r="H25" s="129"/>
      <c r="I25" s="129"/>
      <c r="J25" s="129"/>
    </row>
    <row r="26">
      <c r="A26" s="129"/>
      <c r="B26" s="129"/>
      <c r="C26" s="129"/>
      <c r="D26" s="129"/>
      <c r="E26" s="129"/>
      <c r="F26" s="129"/>
      <c r="G26" s="129"/>
      <c r="H26" s="129"/>
      <c r="I26" s="129"/>
      <c r="J26" s="129"/>
    </row>
    <row r="27">
      <c r="A27" s="128" t="s">
        <v>686</v>
      </c>
      <c r="D27" s="129"/>
      <c r="E27" s="128" t="s">
        <v>687</v>
      </c>
    </row>
    <row r="28">
      <c r="A28" s="129"/>
      <c r="B28" s="129"/>
      <c r="C28" s="129"/>
      <c r="D28" s="129"/>
      <c r="E28" s="129"/>
      <c r="F28" s="129"/>
      <c r="G28" s="129"/>
      <c r="H28" s="129"/>
      <c r="I28" s="129"/>
      <c r="J28" s="129"/>
    </row>
    <row r="29">
      <c r="A29" s="127"/>
      <c r="B29" s="127"/>
      <c r="C29" s="127"/>
      <c r="D29" s="127"/>
      <c r="E29" s="127"/>
      <c r="F29" s="127"/>
      <c r="G29" s="127"/>
      <c r="H29" s="127"/>
      <c r="I29" s="127"/>
      <c r="J29" s="127"/>
    </row>
    <row r="30">
      <c r="A30" s="126" t="s">
        <v>668</v>
      </c>
      <c r="E30" s="127"/>
      <c r="F30" s="127"/>
      <c r="G30" s="127"/>
      <c r="H30" s="127"/>
      <c r="I30" s="127"/>
      <c r="J30" s="127"/>
    </row>
    <row r="31">
      <c r="A31" s="128" t="s">
        <v>669</v>
      </c>
      <c r="E31" s="127"/>
      <c r="F31" s="127"/>
      <c r="G31" s="127"/>
      <c r="H31" s="127"/>
      <c r="I31" s="127"/>
      <c r="J31" s="127"/>
    </row>
    <row r="32">
      <c r="A32" s="127"/>
      <c r="B32" s="127"/>
      <c r="C32" s="127"/>
      <c r="D32" s="127"/>
      <c r="E32" s="127"/>
      <c r="F32" s="127"/>
      <c r="G32" s="127"/>
      <c r="H32" s="127"/>
      <c r="I32" s="127"/>
      <c r="J32" s="127"/>
    </row>
    <row r="33">
      <c r="A33" s="128" t="s">
        <v>688</v>
      </c>
    </row>
    <row r="34">
      <c r="A34" s="129"/>
      <c r="B34" s="129"/>
      <c r="C34" s="129"/>
      <c r="D34" s="129"/>
      <c r="E34" s="129"/>
      <c r="F34" s="129"/>
      <c r="G34" s="129"/>
      <c r="H34" s="129"/>
      <c r="I34" s="129"/>
      <c r="J34" s="129"/>
    </row>
    <row r="35">
      <c r="A35" s="129"/>
      <c r="B35" s="129"/>
      <c r="C35" s="129"/>
      <c r="D35" s="129"/>
      <c r="E35" s="129"/>
      <c r="F35" s="129"/>
      <c r="G35" s="129"/>
      <c r="H35" s="129"/>
      <c r="I35" s="129"/>
      <c r="J35" s="129"/>
    </row>
    <row r="36">
      <c r="A36" s="137" t="s">
        <v>689</v>
      </c>
      <c r="B36" s="138" t="s">
        <v>672</v>
      </c>
      <c r="C36" s="138" t="s">
        <v>673</v>
      </c>
      <c r="D36" s="138" t="s">
        <v>674</v>
      </c>
      <c r="E36" s="138" t="s">
        <v>675</v>
      </c>
      <c r="F36" s="138" t="s">
        <v>676</v>
      </c>
      <c r="G36" s="138" t="s">
        <v>677</v>
      </c>
      <c r="H36" s="138" t="s">
        <v>678</v>
      </c>
      <c r="I36" s="138" t="s">
        <v>679</v>
      </c>
      <c r="J36" s="138" t="s">
        <v>680</v>
      </c>
    </row>
    <row r="37">
      <c r="A37" s="139">
        <v>45668.0</v>
      </c>
      <c r="B37" s="140">
        <f>'Lớp 11'!S8</f>
        <v>300.5</v>
      </c>
      <c r="C37" s="140">
        <f>'Lớp 11'!S48</f>
        <v>300.5</v>
      </c>
      <c r="D37" s="140">
        <f>'Lớp 11'!S86</f>
        <v>298</v>
      </c>
      <c r="E37" s="140">
        <f>'Lớp 11'!S124</f>
        <v>302</v>
      </c>
      <c r="F37" s="140">
        <f>'Lớp 11'!S161</f>
        <v>301</v>
      </c>
      <c r="G37" s="140">
        <f>'Lớp 11'!S197</f>
        <v>300.5</v>
      </c>
      <c r="H37" s="140">
        <f>'Lớp 11'!S233</f>
        <v>301.5</v>
      </c>
      <c r="I37" s="141">
        <f t="shared" ref="I37:I50" si="3">ROUND(AVERAGE(B37:H37),2)</f>
        <v>300.57</v>
      </c>
      <c r="J37" s="142">
        <f t="shared" ref="J37:J50" si="4">RANK(I37,$I$37:$I$50,0)</f>
        <v>7</v>
      </c>
    </row>
    <row r="38">
      <c r="A38" s="132">
        <v>45699.0</v>
      </c>
      <c r="B38" s="140">
        <f>'Lớp 11'!S9</f>
        <v>300</v>
      </c>
      <c r="C38" s="140">
        <f>'Lớp 11'!S49</f>
        <v>302.5</v>
      </c>
      <c r="D38" s="140">
        <f>'Lớp 11'!S87</f>
        <v>298.5</v>
      </c>
      <c r="E38" s="140">
        <f>'Lớp 11'!S125</f>
        <v>300</v>
      </c>
      <c r="F38" s="140">
        <f>'Lớp 11'!S162</f>
        <v>298.5</v>
      </c>
      <c r="G38" s="140">
        <f>'Lớp 11'!S198</f>
        <v>301</v>
      </c>
      <c r="H38" s="140">
        <f>'Lớp 11'!S234</f>
        <v>300</v>
      </c>
      <c r="I38" s="141">
        <f t="shared" si="3"/>
        <v>300.07</v>
      </c>
      <c r="J38" s="142">
        <f t="shared" si="4"/>
        <v>10</v>
      </c>
    </row>
    <row r="39">
      <c r="A39" s="132">
        <v>45727.0</v>
      </c>
      <c r="B39" s="140">
        <f>'Lớp 11'!S10</f>
        <v>299</v>
      </c>
      <c r="C39" s="140">
        <f>'Lớp 11'!S50</f>
        <v>302.5</v>
      </c>
      <c r="D39" s="140">
        <f>'Lớp 11'!S88</f>
        <v>298</v>
      </c>
      <c r="E39" s="140">
        <f>'Lớp 11'!S126</f>
        <v>307</v>
      </c>
      <c r="F39" s="140">
        <f>'Lớp 11'!S163</f>
        <v>298.5</v>
      </c>
      <c r="G39" s="140">
        <f>'Lớp 11'!S199</f>
        <v>302</v>
      </c>
      <c r="H39" s="140">
        <f>'Lớp 11'!S235</f>
        <v>299.5</v>
      </c>
      <c r="I39" s="141">
        <f t="shared" si="3"/>
        <v>300.93</v>
      </c>
      <c r="J39" s="142">
        <f t="shared" si="4"/>
        <v>2</v>
      </c>
    </row>
    <row r="40">
      <c r="A40" s="132">
        <v>45758.0</v>
      </c>
      <c r="B40" s="140">
        <f>'Lớp 11'!S11</f>
        <v>300</v>
      </c>
      <c r="C40" s="140">
        <f>'Lớp 11'!S51</f>
        <v>304</v>
      </c>
      <c r="D40" s="140">
        <f>'Lớp 11'!S89</f>
        <v>299.5</v>
      </c>
      <c r="E40" s="140">
        <f>'Lớp 11'!S127</f>
        <v>301.5</v>
      </c>
      <c r="F40" s="140">
        <f>'Lớp 11'!S164</f>
        <v>298</v>
      </c>
      <c r="G40" s="140">
        <f>'Lớp 11'!S200</f>
        <v>303</v>
      </c>
      <c r="H40" s="140">
        <f>'Lớp 11'!S236</f>
        <v>300.5</v>
      </c>
      <c r="I40" s="141">
        <f t="shared" si="3"/>
        <v>300.93</v>
      </c>
      <c r="J40" s="142">
        <f t="shared" si="4"/>
        <v>2</v>
      </c>
    </row>
    <row r="41">
      <c r="A41" s="132">
        <v>45788.0</v>
      </c>
      <c r="B41" s="140">
        <f>'Lớp 11'!S12</f>
        <v>300</v>
      </c>
      <c r="C41" s="140">
        <f>'Lớp 11'!S52</f>
        <v>302.5</v>
      </c>
      <c r="D41" s="140">
        <f>'Lớp 11'!S90</f>
        <v>300.5</v>
      </c>
      <c r="E41" s="140">
        <f>'Lớp 11'!S128</f>
        <v>301</v>
      </c>
      <c r="F41" s="140">
        <f>'Lớp 11'!S165</f>
        <v>301</v>
      </c>
      <c r="G41" s="140">
        <f>'Lớp 11'!S201</f>
        <v>300.5</v>
      </c>
      <c r="H41" s="140">
        <f>'Lớp 11'!S237</f>
        <v>301</v>
      </c>
      <c r="I41" s="141">
        <f t="shared" si="3"/>
        <v>300.93</v>
      </c>
      <c r="J41" s="142">
        <f t="shared" si="4"/>
        <v>2</v>
      </c>
    </row>
    <row r="42">
      <c r="A42" s="132">
        <v>45819.0</v>
      </c>
      <c r="B42" s="140">
        <f>'Lớp 11'!S13</f>
        <v>295</v>
      </c>
      <c r="C42" s="140">
        <f>'Lớp 11'!S53</f>
        <v>294.5</v>
      </c>
      <c r="D42" s="140">
        <f>'Lớp 11'!S91</f>
        <v>297.5</v>
      </c>
      <c r="E42" s="140">
        <f>'Lớp 11'!S129</f>
        <v>297</v>
      </c>
      <c r="F42" s="140">
        <f>'Lớp 11'!S166</f>
        <v>289.5</v>
      </c>
      <c r="G42" s="140">
        <f>'Lớp 11'!S202</f>
        <v>299.5</v>
      </c>
      <c r="H42" s="140">
        <f>'Lớp 11'!S238</f>
        <v>298.5</v>
      </c>
      <c r="I42" s="141">
        <f t="shared" si="3"/>
        <v>295.93</v>
      </c>
      <c r="J42" s="142">
        <f t="shared" si="4"/>
        <v>14</v>
      </c>
    </row>
    <row r="43">
      <c r="A43" s="132">
        <v>45849.0</v>
      </c>
      <c r="B43" s="140">
        <f>'Lớp 11'!S14</f>
        <v>300</v>
      </c>
      <c r="C43" s="140">
        <f>'Lớp 11'!S54</f>
        <v>301.5</v>
      </c>
      <c r="D43" s="140">
        <f>'Lớp 11'!S92</f>
        <v>298.5</v>
      </c>
      <c r="E43" s="140">
        <f>'Lớp 11'!S130</f>
        <v>300.5</v>
      </c>
      <c r="F43" s="140">
        <f>'Lớp 11'!S167</f>
        <v>299.5</v>
      </c>
      <c r="G43" s="140">
        <f>'Lớp 11'!S203</f>
        <v>300.5</v>
      </c>
      <c r="H43" s="140">
        <f>'Lớp 11'!S239</f>
        <v>302.5</v>
      </c>
      <c r="I43" s="141">
        <f t="shared" si="3"/>
        <v>300.43</v>
      </c>
      <c r="J43" s="142">
        <f t="shared" si="4"/>
        <v>8</v>
      </c>
    </row>
    <row r="44">
      <c r="A44" s="132">
        <v>45880.0</v>
      </c>
      <c r="B44" s="140">
        <f>'Lớp 11'!S15</f>
        <v>298.5</v>
      </c>
      <c r="C44" s="140">
        <f>'Lớp 11'!S55</f>
        <v>300.5</v>
      </c>
      <c r="D44" s="140">
        <f>'Lớp 11'!S93</f>
        <v>297.5</v>
      </c>
      <c r="E44" s="140">
        <f>'Lớp 11'!S131</f>
        <v>299.5</v>
      </c>
      <c r="F44" s="140">
        <f>'Lớp 11'!S168</f>
        <v>300.5</v>
      </c>
      <c r="G44" s="140">
        <f>'Lớp 11'!S204</f>
        <v>299</v>
      </c>
      <c r="H44" s="140">
        <f>'Lớp 11'!S240</f>
        <v>299.5</v>
      </c>
      <c r="I44" s="141">
        <f t="shared" si="3"/>
        <v>299.29</v>
      </c>
      <c r="J44" s="142">
        <f t="shared" si="4"/>
        <v>12</v>
      </c>
    </row>
    <row r="45">
      <c r="A45" s="132">
        <v>45911.0</v>
      </c>
      <c r="B45" s="140">
        <f>'Lớp 11'!S16</f>
        <v>299.5</v>
      </c>
      <c r="C45" s="140">
        <f>'Lớp 11'!S56</f>
        <v>301</v>
      </c>
      <c r="D45" s="140">
        <f>'Lớp 11'!S94</f>
        <v>298</v>
      </c>
      <c r="E45" s="140">
        <f>'Lớp 11'!S132</f>
        <v>300.5</v>
      </c>
      <c r="F45" s="140">
        <f>'Lớp 11'!S169</f>
        <v>297.5</v>
      </c>
      <c r="G45" s="140">
        <f>'Lớp 11'!S205</f>
        <v>300.5</v>
      </c>
      <c r="H45" s="140">
        <f>'Lớp 11'!S241</f>
        <v>300</v>
      </c>
      <c r="I45" s="141">
        <f t="shared" si="3"/>
        <v>299.57</v>
      </c>
      <c r="J45" s="142">
        <f t="shared" si="4"/>
        <v>11</v>
      </c>
    </row>
    <row r="46">
      <c r="A46" s="132">
        <v>45941.0</v>
      </c>
      <c r="B46" s="140">
        <f>'Lớp 11'!S17</f>
        <v>299.5</v>
      </c>
      <c r="C46" s="140">
        <f>'Lớp 11'!S57</f>
        <v>302.5</v>
      </c>
      <c r="D46" s="140">
        <f>'Lớp 11'!S95</f>
        <v>299</v>
      </c>
      <c r="E46" s="140">
        <f>'Lớp 11'!S133</f>
        <v>302</v>
      </c>
      <c r="F46" s="140">
        <f>'Lớp 11'!S170</f>
        <v>300</v>
      </c>
      <c r="G46" s="140">
        <f>'Lớp 11'!S206</f>
        <v>301</v>
      </c>
      <c r="H46" s="140">
        <f>'Lớp 11'!S242</f>
        <v>303.5</v>
      </c>
      <c r="I46" s="141">
        <f t="shared" si="3"/>
        <v>301.07</v>
      </c>
      <c r="J46" s="142">
        <f t="shared" si="4"/>
        <v>1</v>
      </c>
    </row>
    <row r="47">
      <c r="A47" s="132">
        <v>45972.0</v>
      </c>
      <c r="B47" s="140">
        <f>'Lớp 11'!S18</f>
        <v>300</v>
      </c>
      <c r="C47" s="140">
        <f>'Lớp 11'!S58</f>
        <v>301</v>
      </c>
      <c r="D47" s="140">
        <f>'Lớp 11'!S96</f>
        <v>299</v>
      </c>
      <c r="E47" s="140">
        <f>'Lớp 11'!S134</f>
        <v>300.5</v>
      </c>
      <c r="F47" s="140">
        <f>'Lớp 11'!S171</f>
        <v>301</v>
      </c>
      <c r="G47" s="140">
        <f>'Lớp 11'!S207</f>
        <v>301.5</v>
      </c>
      <c r="H47" s="140">
        <f>'Lớp 11'!S243</f>
        <v>301.5</v>
      </c>
      <c r="I47" s="141">
        <f t="shared" si="3"/>
        <v>300.64</v>
      </c>
      <c r="J47" s="142">
        <f t="shared" si="4"/>
        <v>5</v>
      </c>
    </row>
    <row r="48">
      <c r="A48" s="132">
        <v>46002.0</v>
      </c>
      <c r="B48" s="140">
        <f>'Lớp 11'!S19</f>
        <v>297.5</v>
      </c>
      <c r="C48" s="140">
        <f>'Lớp 11'!S59</f>
        <v>302</v>
      </c>
      <c r="D48" s="140">
        <f>'Lớp 11'!S97</f>
        <v>298.5</v>
      </c>
      <c r="E48" s="140">
        <f>'Lớp 11'!S135</f>
        <v>301</v>
      </c>
      <c r="F48" s="140">
        <f>'Lớp 11'!S172</f>
        <v>301</v>
      </c>
      <c r="G48" s="140">
        <f>'Lớp 11'!S208</f>
        <v>301</v>
      </c>
      <c r="H48" s="140">
        <f>'Lớp 11'!S244</f>
        <v>301.5</v>
      </c>
      <c r="I48" s="141">
        <f t="shared" si="3"/>
        <v>300.36</v>
      </c>
      <c r="J48" s="142">
        <f t="shared" si="4"/>
        <v>9</v>
      </c>
    </row>
    <row r="49">
      <c r="A49" s="143" t="s">
        <v>251</v>
      </c>
      <c r="B49" s="140">
        <f>'Lớp 11'!S20</f>
        <v>299.5</v>
      </c>
      <c r="C49" s="140">
        <f>'Lớp 11'!S60</f>
        <v>302</v>
      </c>
      <c r="D49" s="140">
        <f>'Lớp 11'!S98</f>
        <v>299</v>
      </c>
      <c r="E49" s="140">
        <f>'Lớp 11'!S136</f>
        <v>301.5</v>
      </c>
      <c r="F49" s="140">
        <f>'Lớp 11'!S173</f>
        <v>301</v>
      </c>
      <c r="G49" s="140">
        <f>'Lớp 11'!S209</f>
        <v>300.5</v>
      </c>
      <c r="H49" s="140">
        <f>'Lớp 11'!S245</f>
        <v>301</v>
      </c>
      <c r="I49" s="141">
        <f t="shared" si="3"/>
        <v>300.64</v>
      </c>
      <c r="J49" s="142">
        <f t="shared" si="4"/>
        <v>5</v>
      </c>
    </row>
    <row r="50">
      <c r="A50" s="144" t="s">
        <v>252</v>
      </c>
      <c r="B50" s="140">
        <f>'Lớp 11'!S21</f>
        <v>297.5</v>
      </c>
      <c r="C50" s="140">
        <f>'Lớp 11'!S61</f>
        <v>300</v>
      </c>
      <c r="D50" s="140">
        <f>'Lớp 11'!S99</f>
        <v>298</v>
      </c>
      <c r="E50" s="140">
        <f>'Lớp 11'!S137</f>
        <v>298.5</v>
      </c>
      <c r="F50" s="140">
        <f>'Lớp 11'!S174</f>
        <v>299</v>
      </c>
      <c r="G50" s="140">
        <f>'Lớp 11'!S210</f>
        <v>300.5</v>
      </c>
      <c r="H50" s="140">
        <f>'Lớp 11'!S246</f>
        <v>300.5</v>
      </c>
      <c r="I50" s="141">
        <f t="shared" si="3"/>
        <v>299.14</v>
      </c>
      <c r="J50" s="142">
        <f t="shared" si="4"/>
        <v>13</v>
      </c>
    </row>
    <row r="51">
      <c r="A51" s="129"/>
      <c r="B51" s="129"/>
      <c r="C51" s="129"/>
      <c r="D51" s="129"/>
      <c r="E51" s="129"/>
      <c r="F51" s="129"/>
      <c r="G51" s="129"/>
      <c r="H51" s="129"/>
      <c r="I51" s="129"/>
      <c r="J51" s="129"/>
    </row>
    <row r="52">
      <c r="A52" s="129"/>
      <c r="B52" s="129"/>
      <c r="C52" s="129"/>
      <c r="D52" s="129"/>
      <c r="E52" s="136" t="s">
        <v>681</v>
      </c>
    </row>
    <row r="53">
      <c r="A53" s="128" t="s">
        <v>682</v>
      </c>
      <c r="D53" s="129"/>
      <c r="E53" s="128" t="s">
        <v>683</v>
      </c>
    </row>
    <row r="54">
      <c r="A54" s="128" t="s">
        <v>684</v>
      </c>
      <c r="D54" s="129"/>
      <c r="E54" s="128" t="s">
        <v>685</v>
      </c>
    </row>
    <row r="55">
      <c r="A55" s="129"/>
      <c r="B55" s="129"/>
      <c r="C55" s="129"/>
      <c r="D55" s="129"/>
      <c r="E55" s="129"/>
      <c r="F55" s="129"/>
      <c r="G55" s="129"/>
      <c r="H55" s="129"/>
      <c r="I55" s="129"/>
      <c r="J55" s="129"/>
    </row>
    <row r="56">
      <c r="A56" s="129"/>
      <c r="B56" s="129"/>
      <c r="C56" s="129"/>
      <c r="D56" s="129"/>
      <c r="E56" s="129"/>
      <c r="F56" s="129"/>
      <c r="G56" s="129"/>
      <c r="H56" s="129"/>
      <c r="I56" s="129"/>
      <c r="J56" s="129"/>
    </row>
    <row r="57">
      <c r="A57" s="129"/>
      <c r="B57" s="129"/>
      <c r="C57" s="129"/>
      <c r="D57" s="129"/>
      <c r="E57" s="129"/>
      <c r="F57" s="129"/>
      <c r="G57" s="129"/>
      <c r="H57" s="129"/>
      <c r="I57" s="129"/>
      <c r="J57" s="129"/>
    </row>
    <row r="58">
      <c r="A58" s="128" t="s">
        <v>686</v>
      </c>
      <c r="D58" s="129"/>
      <c r="E58" s="128" t="s">
        <v>687</v>
      </c>
    </row>
    <row r="59">
      <c r="A59" s="145"/>
      <c r="B59" s="145"/>
      <c r="C59" s="145"/>
      <c r="D59" s="145"/>
      <c r="E59" s="145"/>
      <c r="F59" s="145"/>
      <c r="G59" s="145"/>
      <c r="H59" s="145"/>
      <c r="I59" s="145"/>
      <c r="J59" s="145"/>
    </row>
    <row r="60">
      <c r="A60" s="145"/>
      <c r="B60" s="145"/>
      <c r="C60" s="145"/>
      <c r="D60" s="145"/>
      <c r="E60" s="145"/>
      <c r="F60" s="145"/>
      <c r="G60" s="145"/>
      <c r="H60" s="145"/>
      <c r="I60" s="145"/>
      <c r="J60" s="145"/>
    </row>
    <row r="61">
      <c r="A61" s="126" t="s">
        <v>668</v>
      </c>
      <c r="E61" s="145"/>
      <c r="F61" s="145"/>
      <c r="G61" s="145"/>
      <c r="H61" s="145"/>
      <c r="I61" s="145"/>
      <c r="J61" s="145"/>
    </row>
    <row r="62">
      <c r="A62" s="128" t="s">
        <v>669</v>
      </c>
      <c r="E62" s="145"/>
      <c r="F62" s="145"/>
      <c r="G62" s="145"/>
      <c r="H62" s="145"/>
      <c r="I62" s="145"/>
      <c r="J62" s="145"/>
    </row>
    <row r="63">
      <c r="A63" s="145"/>
      <c r="B63" s="145"/>
      <c r="C63" s="145"/>
      <c r="D63" s="145"/>
      <c r="E63" s="145"/>
      <c r="F63" s="145"/>
      <c r="G63" s="145"/>
      <c r="H63" s="145"/>
      <c r="I63" s="145"/>
      <c r="J63" s="145"/>
    </row>
    <row r="64">
      <c r="A64" s="128" t="s">
        <v>690</v>
      </c>
    </row>
    <row r="65">
      <c r="A65" s="145"/>
      <c r="B65" s="145"/>
      <c r="C65" s="145"/>
      <c r="D65" s="145"/>
      <c r="E65" s="145"/>
      <c r="F65" s="145"/>
      <c r="G65" s="145"/>
      <c r="H65" s="145"/>
      <c r="I65" s="145"/>
      <c r="J65" s="145"/>
    </row>
    <row r="66">
      <c r="A66" s="137" t="s">
        <v>691</v>
      </c>
      <c r="B66" s="138" t="s">
        <v>672</v>
      </c>
      <c r="C66" s="138" t="s">
        <v>673</v>
      </c>
      <c r="D66" s="138" t="s">
        <v>674</v>
      </c>
      <c r="E66" s="138" t="s">
        <v>675</v>
      </c>
      <c r="F66" s="138" t="s">
        <v>676</v>
      </c>
      <c r="G66" s="138" t="s">
        <v>677</v>
      </c>
      <c r="H66" s="138" t="s">
        <v>678</v>
      </c>
      <c r="I66" s="138" t="s">
        <v>679</v>
      </c>
      <c r="J66" s="138" t="s">
        <v>680</v>
      </c>
    </row>
    <row r="67">
      <c r="A67" s="139">
        <v>45669.0</v>
      </c>
      <c r="B67" s="140">
        <f>'Lớp 12'!S8</f>
        <v>302</v>
      </c>
      <c r="C67" s="140">
        <f>'Lớp 12'!S48</f>
        <v>300</v>
      </c>
      <c r="D67" s="140">
        <f>'Lớp 12'!S86</f>
        <v>300</v>
      </c>
      <c r="E67" s="140">
        <f>'Lớp 12'!S118</f>
        <v>302</v>
      </c>
      <c r="F67" s="140">
        <f>'Lớp 12'!S156</f>
        <v>301</v>
      </c>
      <c r="G67" s="140">
        <f>'Lớp 12'!S191</f>
        <v>300</v>
      </c>
      <c r="H67" s="140">
        <f>'Lớp 12'!S223</f>
        <v>302</v>
      </c>
      <c r="I67" s="141">
        <f t="shared" ref="I67:I80" si="5">round(average(B67:H67),2)</f>
        <v>301</v>
      </c>
      <c r="J67" s="142">
        <f t="shared" ref="J67:J80" si="6">rank(I67,$I$67:$I$80,0)</f>
        <v>1</v>
      </c>
    </row>
    <row r="68">
      <c r="A68" s="132">
        <v>45700.0</v>
      </c>
      <c r="B68" s="140">
        <f>'Lớp 12'!S9</f>
        <v>293</v>
      </c>
      <c r="C68" s="140">
        <f>'Lớp 12'!S49</f>
        <v>301</v>
      </c>
      <c r="D68" s="140">
        <f>'Lớp 12'!S87</f>
        <v>299.5</v>
      </c>
      <c r="E68" s="140">
        <f>'Lớp 12'!S119</f>
        <v>298.5</v>
      </c>
      <c r="F68" s="140">
        <f>'Lớp 12'!S157</f>
        <v>297.5</v>
      </c>
      <c r="G68" s="140">
        <f>'Lớp 12'!S192</f>
        <v>298.5</v>
      </c>
      <c r="H68" s="140">
        <f>'Lớp 12'!S224</f>
        <v>302.5</v>
      </c>
      <c r="I68" s="141">
        <f t="shared" si="5"/>
        <v>298.64</v>
      </c>
      <c r="J68" s="142">
        <f t="shared" si="6"/>
        <v>12</v>
      </c>
    </row>
    <row r="69">
      <c r="A69" s="132">
        <v>45728.0</v>
      </c>
      <c r="B69" s="140">
        <f>'Lớp 12'!S10</f>
        <v>299</v>
      </c>
      <c r="C69" s="140">
        <f>'Lớp 12'!S50</f>
        <v>300.5</v>
      </c>
      <c r="D69" s="140">
        <f>'Lớp 12'!S88</f>
        <v>298</v>
      </c>
      <c r="E69" s="140">
        <f>'Lớp 12'!S120</f>
        <v>299.5</v>
      </c>
      <c r="F69" s="140">
        <f>'Lớp 12'!S158</f>
        <v>300</v>
      </c>
      <c r="G69" s="140">
        <f>'Lớp 12'!S193</f>
        <v>299.5</v>
      </c>
      <c r="H69" s="140">
        <f>'Lớp 12'!S225</f>
        <v>301.5</v>
      </c>
      <c r="I69" s="141">
        <f t="shared" si="5"/>
        <v>299.71</v>
      </c>
      <c r="J69" s="142">
        <f t="shared" si="6"/>
        <v>8</v>
      </c>
    </row>
    <row r="70">
      <c r="A70" s="132">
        <v>45759.0</v>
      </c>
      <c r="B70" s="140">
        <f>'Lớp 12'!S11</f>
        <v>293.5</v>
      </c>
      <c r="C70" s="140">
        <f>'Lớp 12'!S51</f>
        <v>300.5</v>
      </c>
      <c r="D70" s="140">
        <f>'Lớp 12'!S89</f>
        <v>300</v>
      </c>
      <c r="E70" s="140">
        <f>'Lớp 12'!S121</f>
        <v>301.5</v>
      </c>
      <c r="F70" s="140">
        <f>'Lớp 12'!S159</f>
        <v>301</v>
      </c>
      <c r="G70" s="140">
        <f>'Lớp 12'!S194</f>
        <v>299</v>
      </c>
      <c r="H70" s="140">
        <f>'Lớp 12'!S226</f>
        <v>300.5</v>
      </c>
      <c r="I70" s="141">
        <f t="shared" si="5"/>
        <v>299.43</v>
      </c>
      <c r="J70" s="142">
        <f t="shared" si="6"/>
        <v>10</v>
      </c>
    </row>
    <row r="71">
      <c r="A71" s="132">
        <v>45789.0</v>
      </c>
      <c r="B71" s="140">
        <f>'Lớp 12'!S12</f>
        <v>300</v>
      </c>
      <c r="C71" s="140">
        <f>'Lớp 12'!S52</f>
        <v>302.5</v>
      </c>
      <c r="D71" s="140">
        <f>'Lớp 12'!S90</f>
        <v>299.5</v>
      </c>
      <c r="E71" s="140">
        <f>'Lớp 12'!S122</f>
        <v>300</v>
      </c>
      <c r="F71" s="140">
        <f>'Lớp 12'!S160</f>
        <v>299</v>
      </c>
      <c r="G71" s="140">
        <f>'Lớp 12'!S195</f>
        <v>300.5</v>
      </c>
      <c r="H71" s="140">
        <f>'Lớp 12'!S227</f>
        <v>301.5</v>
      </c>
      <c r="I71" s="141">
        <f t="shared" si="5"/>
        <v>300.43</v>
      </c>
      <c r="J71" s="142">
        <f t="shared" si="6"/>
        <v>4</v>
      </c>
    </row>
    <row r="72">
      <c r="A72" s="132">
        <v>45820.0</v>
      </c>
      <c r="B72" s="140">
        <f>'Lớp 12'!S13</f>
        <v>298.5</v>
      </c>
      <c r="C72" s="140">
        <f>'Lớp 12'!S53</f>
        <v>301.5</v>
      </c>
      <c r="D72" s="140">
        <f>'Lớp 12'!S91</f>
        <v>298.5</v>
      </c>
      <c r="E72" s="140">
        <f>'Lớp 12'!S123</f>
        <v>297.5</v>
      </c>
      <c r="F72" s="140">
        <f>'Lớp 12'!S161</f>
        <v>300</v>
      </c>
      <c r="G72" s="140">
        <f>'Lớp 12'!S196</f>
        <v>300</v>
      </c>
      <c r="H72" s="140">
        <f>'Lớp 12'!S228</f>
        <v>301.5</v>
      </c>
      <c r="I72" s="141">
        <f t="shared" si="5"/>
        <v>299.64</v>
      </c>
      <c r="J72" s="142">
        <f t="shared" si="6"/>
        <v>9</v>
      </c>
    </row>
    <row r="73">
      <c r="A73" s="132">
        <v>45850.0</v>
      </c>
      <c r="B73" s="140">
        <f>'Lớp 12'!S14</f>
        <v>299</v>
      </c>
      <c r="C73" s="140">
        <f>'Lớp 12'!S54</f>
        <v>299.5</v>
      </c>
      <c r="D73" s="140">
        <f>'Lớp 12'!S92</f>
        <v>298.5</v>
      </c>
      <c r="E73" s="140">
        <f>'Lớp 12'!S124</f>
        <v>295</v>
      </c>
      <c r="F73" s="140">
        <f>'Lớp 12'!S162</f>
        <v>300</v>
      </c>
      <c r="G73" s="140">
        <f>'Lớp 12'!S197</f>
        <v>300</v>
      </c>
      <c r="H73" s="140">
        <f>'Lớp 12'!S229</f>
        <v>301</v>
      </c>
      <c r="I73" s="141">
        <f t="shared" si="5"/>
        <v>299</v>
      </c>
      <c r="J73" s="142">
        <f t="shared" si="6"/>
        <v>11</v>
      </c>
    </row>
    <row r="74">
      <c r="A74" s="132">
        <v>45881.0</v>
      </c>
      <c r="B74" s="140">
        <f>'Lớp 12'!S15</f>
        <v>295.5</v>
      </c>
      <c r="C74" s="140">
        <f>'Lớp 12'!S55</f>
        <v>300</v>
      </c>
      <c r="D74" s="140">
        <f>'Lớp 12'!S93</f>
        <v>299</v>
      </c>
      <c r="E74" s="140">
        <f>'Lớp 12'!S125</f>
        <v>293</v>
      </c>
      <c r="F74" s="140">
        <f>'Lớp 12'!S163</f>
        <v>300</v>
      </c>
      <c r="G74" s="140">
        <f>'Lớp 12'!S198</f>
        <v>300</v>
      </c>
      <c r="H74" s="140">
        <f>'Lớp 12'!S230</f>
        <v>300.5</v>
      </c>
      <c r="I74" s="141">
        <f t="shared" si="5"/>
        <v>298.29</v>
      </c>
      <c r="J74" s="142">
        <f t="shared" si="6"/>
        <v>14</v>
      </c>
    </row>
    <row r="75">
      <c r="A75" s="132">
        <v>45912.0</v>
      </c>
      <c r="B75" s="140">
        <f>'Lớp 12'!S16</f>
        <v>299</v>
      </c>
      <c r="C75" s="140">
        <f>'Lớp 12'!S56</f>
        <v>302.5</v>
      </c>
      <c r="D75" s="140">
        <f>'Lớp 12'!S94</f>
        <v>299.5</v>
      </c>
      <c r="E75" s="140">
        <f>'Lớp 12'!S126</f>
        <v>299.5</v>
      </c>
      <c r="F75" s="140">
        <f>'Lớp 12'!S164</f>
        <v>299</v>
      </c>
      <c r="G75" s="140">
        <f>'Lớp 12'!S199</f>
        <v>300.5</v>
      </c>
      <c r="H75" s="140">
        <f>'Lớp 12'!S231</f>
        <v>302</v>
      </c>
      <c r="I75" s="141">
        <f t="shared" si="5"/>
        <v>300.29</v>
      </c>
      <c r="J75" s="142">
        <f t="shared" si="6"/>
        <v>6</v>
      </c>
    </row>
    <row r="76">
      <c r="A76" s="132">
        <v>45942.0</v>
      </c>
      <c r="B76" s="140">
        <f>'Lớp 12'!S17</f>
        <v>299</v>
      </c>
      <c r="C76" s="140">
        <f>'Lớp 12'!S57</f>
        <v>302</v>
      </c>
      <c r="D76" s="140">
        <f>'Lớp 12'!S95</f>
        <v>298.5</v>
      </c>
      <c r="E76" s="140">
        <f>'Lớp 12'!S127</f>
        <v>300.5</v>
      </c>
      <c r="F76" s="140">
        <f>'Lớp 12'!S165</f>
        <v>300</v>
      </c>
      <c r="G76" s="140">
        <f>'Lớp 12'!S200</f>
        <v>300</v>
      </c>
      <c r="H76" s="140">
        <f>'Lớp 12'!S232</f>
        <v>299.5</v>
      </c>
      <c r="I76" s="141">
        <f t="shared" si="5"/>
        <v>299.93</v>
      </c>
      <c r="J76" s="142">
        <f t="shared" si="6"/>
        <v>7</v>
      </c>
    </row>
    <row r="77">
      <c r="A77" s="132">
        <v>45973.0</v>
      </c>
      <c r="B77" s="140">
        <f>'Lớp 12'!S18</f>
        <v>295.5</v>
      </c>
      <c r="C77" s="140">
        <f>'Lớp 12'!S58</f>
        <v>300</v>
      </c>
      <c r="D77" s="140">
        <f>'Lớp 12'!S96</f>
        <v>296.5</v>
      </c>
      <c r="E77" s="140">
        <f>'Lớp 12'!S128</f>
        <v>297.5</v>
      </c>
      <c r="F77" s="140">
        <f>'Lớp 12'!S166</f>
        <v>301</v>
      </c>
      <c r="G77" s="140">
        <f>'Lớp 12'!S201</f>
        <v>300</v>
      </c>
      <c r="H77" s="140">
        <f>'Lớp 12'!S233</f>
        <v>299</v>
      </c>
      <c r="I77" s="141">
        <f t="shared" si="5"/>
        <v>298.5</v>
      </c>
      <c r="J77" s="142">
        <f t="shared" si="6"/>
        <v>13</v>
      </c>
    </row>
    <row r="78">
      <c r="A78" s="132">
        <v>46003.0</v>
      </c>
      <c r="B78" s="140">
        <f>'Lớp 12'!S19</f>
        <v>299.5</v>
      </c>
      <c r="C78" s="140">
        <f>'Lớp 12'!S59</f>
        <v>303</v>
      </c>
      <c r="D78" s="140">
        <f>'Lớp 12'!S97</f>
        <v>300.5</v>
      </c>
      <c r="E78" s="140">
        <f>'Lớp 12'!S129</f>
        <v>299</v>
      </c>
      <c r="F78" s="140">
        <f>'Lớp 12'!S167</f>
        <v>301</v>
      </c>
      <c r="G78" s="140">
        <f>'Lớp 12'!S202</f>
        <v>298.5</v>
      </c>
      <c r="H78" s="140">
        <f>'Lớp 12'!S234</f>
        <v>302.5</v>
      </c>
      <c r="I78" s="141">
        <f t="shared" si="5"/>
        <v>300.57</v>
      </c>
      <c r="J78" s="142">
        <f t="shared" si="6"/>
        <v>3</v>
      </c>
    </row>
    <row r="79">
      <c r="A79" s="143" t="s">
        <v>488</v>
      </c>
      <c r="B79" s="140">
        <f>'Lớp 12'!S20</f>
        <v>297.5</v>
      </c>
      <c r="C79" s="140">
        <f>'Lớp 12'!S60</f>
        <v>302.5</v>
      </c>
      <c r="D79" s="140">
        <f>'Lớp 12'!S98</f>
        <v>298.5</v>
      </c>
      <c r="E79" s="140">
        <f>'Lớp 12'!S130</f>
        <v>301</v>
      </c>
      <c r="F79" s="140">
        <f>'Lớp 12'!S168</f>
        <v>300.5</v>
      </c>
      <c r="G79" s="140">
        <f>'Lớp 12'!S203</f>
        <v>300.5</v>
      </c>
      <c r="H79" s="140">
        <f>'Lớp 12'!S235</f>
        <v>302</v>
      </c>
      <c r="I79" s="141">
        <f t="shared" si="5"/>
        <v>300.36</v>
      </c>
      <c r="J79" s="142">
        <f t="shared" si="6"/>
        <v>5</v>
      </c>
    </row>
    <row r="80">
      <c r="A80" s="144" t="s">
        <v>489</v>
      </c>
      <c r="B80" s="140">
        <f>'Lớp 12'!S21</f>
        <v>297</v>
      </c>
      <c r="C80" s="140">
        <f>'Lớp 12'!S61</f>
        <v>302.5</v>
      </c>
      <c r="D80" s="140">
        <f>'Lớp 12'!S99</f>
        <v>300.5</v>
      </c>
      <c r="E80" s="140">
        <f>'Lớp 12'!S131</f>
        <v>301.5</v>
      </c>
      <c r="F80" s="140">
        <f>'Lớp 12'!S169</f>
        <v>301</v>
      </c>
      <c r="G80" s="140">
        <f>'Lớp 12'!S204</f>
        <v>300</v>
      </c>
      <c r="H80" s="140">
        <f>'Lớp 12'!S236</f>
        <v>302.5</v>
      </c>
      <c r="I80" s="141">
        <f t="shared" si="5"/>
        <v>300.71</v>
      </c>
      <c r="J80" s="142">
        <f t="shared" si="6"/>
        <v>2</v>
      </c>
    </row>
    <row r="81">
      <c r="A81" s="129"/>
      <c r="B81" s="129"/>
      <c r="C81" s="129"/>
      <c r="D81" s="129"/>
      <c r="E81" s="129"/>
      <c r="F81" s="129"/>
      <c r="G81" s="129"/>
      <c r="H81" s="129"/>
      <c r="I81" s="129"/>
      <c r="J81" s="129"/>
    </row>
    <row r="82">
      <c r="A82" s="129"/>
      <c r="B82" s="129"/>
      <c r="C82" s="129"/>
      <c r="D82" s="129"/>
      <c r="E82" s="136" t="s">
        <v>681</v>
      </c>
    </row>
    <row r="83">
      <c r="A83" s="128" t="s">
        <v>682</v>
      </c>
      <c r="D83" s="129"/>
      <c r="E83" s="128" t="s">
        <v>683</v>
      </c>
    </row>
    <row r="84">
      <c r="A84" s="128" t="s">
        <v>684</v>
      </c>
      <c r="D84" s="129"/>
      <c r="E84" s="128" t="s">
        <v>685</v>
      </c>
    </row>
    <row r="85">
      <c r="A85" s="129"/>
      <c r="B85" s="129"/>
      <c r="C85" s="129"/>
      <c r="D85" s="129"/>
      <c r="E85" s="129"/>
      <c r="F85" s="129"/>
      <c r="G85" s="129"/>
      <c r="H85" s="129"/>
      <c r="I85" s="129"/>
      <c r="J85" s="129"/>
    </row>
    <row r="86">
      <c r="A86" s="129"/>
      <c r="B86" s="129"/>
      <c r="C86" s="129"/>
      <c r="D86" s="129"/>
      <c r="E86" s="129"/>
      <c r="F86" s="129"/>
      <c r="G86" s="129"/>
      <c r="H86" s="129"/>
      <c r="I86" s="129"/>
      <c r="J86" s="129"/>
    </row>
    <row r="87">
      <c r="A87" s="129"/>
      <c r="B87" s="129"/>
      <c r="C87" s="129"/>
      <c r="D87" s="129"/>
      <c r="E87" s="129"/>
      <c r="F87" s="129"/>
      <c r="G87" s="129"/>
      <c r="H87" s="129"/>
      <c r="I87" s="129"/>
      <c r="J87" s="129"/>
    </row>
    <row r="88">
      <c r="A88" s="128" t="s">
        <v>686</v>
      </c>
      <c r="D88" s="129"/>
      <c r="E88" s="128" t="s">
        <v>687</v>
      </c>
    </row>
  </sheetData>
  <mergeCells count="30">
    <mergeCell ref="A1:D1"/>
    <mergeCell ref="A2:D2"/>
    <mergeCell ref="A4:J4"/>
    <mergeCell ref="E21:J21"/>
    <mergeCell ref="A22:C22"/>
    <mergeCell ref="E22:J22"/>
    <mergeCell ref="E23:J23"/>
    <mergeCell ref="A54:C54"/>
    <mergeCell ref="E54:J54"/>
    <mergeCell ref="A58:C58"/>
    <mergeCell ref="E58:J58"/>
    <mergeCell ref="A61:D61"/>
    <mergeCell ref="A62:D62"/>
    <mergeCell ref="A64:J64"/>
    <mergeCell ref="A23:C23"/>
    <mergeCell ref="A27:C27"/>
    <mergeCell ref="E27:J27"/>
    <mergeCell ref="A30:D30"/>
    <mergeCell ref="A31:D31"/>
    <mergeCell ref="A33:J33"/>
    <mergeCell ref="A53:C53"/>
    <mergeCell ref="A88:C88"/>
    <mergeCell ref="E88:J88"/>
    <mergeCell ref="E52:J52"/>
    <mergeCell ref="E53:J53"/>
    <mergeCell ref="E82:J82"/>
    <mergeCell ref="A83:C83"/>
    <mergeCell ref="E83:J83"/>
    <mergeCell ref="A84:C84"/>
    <mergeCell ref="E84:J8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126" t="s">
        <v>668</v>
      </c>
      <c r="E1" s="127"/>
      <c r="F1" s="127"/>
      <c r="G1" s="127"/>
      <c r="H1" s="127"/>
      <c r="I1" s="127"/>
      <c r="J1" s="127"/>
    </row>
    <row r="2">
      <c r="A2" s="128" t="s">
        <v>669</v>
      </c>
      <c r="E2" s="127"/>
      <c r="F2" s="127"/>
      <c r="G2" s="127"/>
      <c r="H2" s="127"/>
      <c r="I2" s="127"/>
      <c r="J2" s="127"/>
    </row>
    <row r="3">
      <c r="A3" s="127"/>
      <c r="B3" s="127"/>
      <c r="C3" s="127"/>
      <c r="D3" s="127"/>
      <c r="E3" s="127"/>
      <c r="F3" s="127"/>
      <c r="G3" s="127"/>
      <c r="H3" s="127"/>
      <c r="I3" s="127"/>
      <c r="J3" s="127"/>
    </row>
    <row r="4">
      <c r="A4" s="128" t="s">
        <v>692</v>
      </c>
    </row>
    <row r="5">
      <c r="A5" s="129"/>
      <c r="B5" s="129"/>
      <c r="C5" s="129"/>
      <c r="D5" s="129"/>
      <c r="E5" s="129"/>
      <c r="F5" s="129"/>
      <c r="G5" s="129"/>
      <c r="H5" s="129"/>
      <c r="I5" s="129"/>
      <c r="J5" s="129"/>
    </row>
    <row r="6">
      <c r="A6" s="129"/>
      <c r="B6" s="129"/>
      <c r="C6" s="129"/>
      <c r="D6" s="129"/>
      <c r="E6" s="129"/>
      <c r="F6" s="129"/>
      <c r="G6" s="129"/>
      <c r="H6" s="129"/>
      <c r="I6" s="129"/>
      <c r="J6" s="129"/>
    </row>
    <row r="7">
      <c r="A7" s="130" t="s">
        <v>671</v>
      </c>
      <c r="B7" s="131" t="s">
        <v>693</v>
      </c>
      <c r="C7" s="131" t="s">
        <v>694</v>
      </c>
      <c r="D7" s="131" t="s">
        <v>695</v>
      </c>
      <c r="E7" s="131" t="s">
        <v>696</v>
      </c>
      <c r="F7" s="131" t="s">
        <v>697</v>
      </c>
      <c r="G7" s="131" t="s">
        <v>698</v>
      </c>
      <c r="H7" s="131" t="s">
        <v>699</v>
      </c>
      <c r="I7" s="131" t="s">
        <v>679</v>
      </c>
      <c r="J7" s="131" t="s">
        <v>680</v>
      </c>
    </row>
    <row r="8">
      <c r="A8" s="132">
        <v>45667.0</v>
      </c>
      <c r="B8" s="133">
        <f>'Lớp 10'!S231</f>
        <v>296</v>
      </c>
      <c r="C8" s="133">
        <f>'Lớp 10'!S265</f>
        <v>297</v>
      </c>
      <c r="D8" s="133">
        <f>'Lớp 10'!S297</f>
        <v>298.5</v>
      </c>
      <c r="E8" s="133">
        <f>'Lớp 10'!S330</f>
        <v>301.5</v>
      </c>
      <c r="F8" s="133">
        <f>'Lớp 10'!S367</f>
        <v>298.5</v>
      </c>
      <c r="G8" s="133">
        <f>'Lớp 10'!S400</f>
        <v>299.5</v>
      </c>
      <c r="H8" s="133">
        <f>'Lớp 10'!S432</f>
        <v>299</v>
      </c>
      <c r="I8" s="134">
        <f t="shared" ref="I8:I19" si="1">ROUND(AVERAGE(B8:H8),2)</f>
        <v>298.57</v>
      </c>
      <c r="J8" s="135">
        <f t="shared" ref="J8:J19" si="2">RANK(I8,$I$8:$I$19,0)</f>
        <v>8</v>
      </c>
    </row>
    <row r="9">
      <c r="A9" s="132">
        <v>45698.0</v>
      </c>
      <c r="B9" s="133">
        <f>'Lớp 10'!S232</f>
        <v>299</v>
      </c>
      <c r="C9" s="133">
        <f>'Lớp 10'!S266</f>
        <v>297.5</v>
      </c>
      <c r="D9" s="133">
        <f>'Lớp 10'!S298</f>
        <v>299.5</v>
      </c>
      <c r="E9" s="133">
        <f>'Lớp 10'!S331</f>
        <v>303</v>
      </c>
      <c r="F9" s="133">
        <f>'Lớp 10'!S368</f>
        <v>300.5</v>
      </c>
      <c r="G9" s="133">
        <f>'Lớp 10'!S401</f>
        <v>300.5</v>
      </c>
      <c r="H9" s="133">
        <f>'Lớp 10'!S433</f>
        <v>299</v>
      </c>
      <c r="I9" s="134">
        <f t="shared" si="1"/>
        <v>299.86</v>
      </c>
      <c r="J9" s="135">
        <f t="shared" si="2"/>
        <v>4</v>
      </c>
    </row>
    <row r="10">
      <c r="A10" s="132">
        <v>45726.0</v>
      </c>
      <c r="B10" s="133">
        <f>'Lớp 10'!S233</f>
        <v>299</v>
      </c>
      <c r="C10" s="133">
        <f>'Lớp 10'!S267</f>
        <v>294.5</v>
      </c>
      <c r="D10" s="133">
        <f>'Lớp 10'!S299</f>
        <v>300</v>
      </c>
      <c r="E10" s="133">
        <f>'Lớp 10'!S332</f>
        <v>302.5</v>
      </c>
      <c r="F10" s="133">
        <f>'Lớp 10'!S369</f>
        <v>301</v>
      </c>
      <c r="G10" s="133">
        <f>'Lớp 10'!S402</f>
        <v>300</v>
      </c>
      <c r="H10" s="133">
        <f>'Lớp 10'!S434</f>
        <v>299.5</v>
      </c>
      <c r="I10" s="134">
        <f t="shared" si="1"/>
        <v>299.5</v>
      </c>
      <c r="J10" s="135">
        <f t="shared" si="2"/>
        <v>5</v>
      </c>
    </row>
    <row r="11">
      <c r="A11" s="132">
        <v>45757.0</v>
      </c>
      <c r="B11" s="133">
        <f>'Lớp 10'!S234</f>
        <v>299.5</v>
      </c>
      <c r="C11" s="133">
        <f>'Lớp 10'!S268</f>
        <v>300</v>
      </c>
      <c r="D11" s="133">
        <f>'Lớp 10'!S300</f>
        <v>297.5</v>
      </c>
      <c r="E11" s="133">
        <f>'Lớp 10'!S333</f>
        <v>299.5</v>
      </c>
      <c r="F11" s="133">
        <f>'Lớp 10'!S370</f>
        <v>299</v>
      </c>
      <c r="G11" s="133">
        <f>'Lớp 10'!S403</f>
        <v>300.5</v>
      </c>
      <c r="H11" s="133">
        <f>'Lớp 10'!S435</f>
        <v>299.5</v>
      </c>
      <c r="I11" s="134">
        <f t="shared" si="1"/>
        <v>299.36</v>
      </c>
      <c r="J11" s="135">
        <f t="shared" si="2"/>
        <v>6</v>
      </c>
    </row>
    <row r="12">
      <c r="A12" s="132">
        <v>45787.0</v>
      </c>
      <c r="B12" s="133">
        <f>'Lớp 10'!S235</f>
        <v>298</v>
      </c>
      <c r="C12" s="133">
        <f>'Lớp 10'!S269</f>
        <v>298.5</v>
      </c>
      <c r="D12" s="133">
        <f>'Lớp 10'!S301</f>
        <v>298.5</v>
      </c>
      <c r="E12" s="133">
        <f>'Lớp 10'!S334</f>
        <v>299.5</v>
      </c>
      <c r="F12" s="133">
        <f>'Lớp 10'!S371</f>
        <v>295</v>
      </c>
      <c r="G12" s="133">
        <f>'Lớp 10'!S404</f>
        <v>298.5</v>
      </c>
      <c r="H12" s="133">
        <f>'Lớp 10'!S436</f>
        <v>298.5</v>
      </c>
      <c r="I12" s="134">
        <f t="shared" si="1"/>
        <v>298.07</v>
      </c>
      <c r="J12" s="135">
        <f t="shared" si="2"/>
        <v>11</v>
      </c>
    </row>
    <row r="13">
      <c r="A13" s="132">
        <v>45818.0</v>
      </c>
      <c r="B13" s="133">
        <f>'Lớp 10'!S236</f>
        <v>296</v>
      </c>
      <c r="C13" s="133">
        <f>'Lớp 10'!S270</f>
        <v>297</v>
      </c>
      <c r="D13" s="133">
        <f>'Lớp 10'!S302</f>
        <v>302</v>
      </c>
      <c r="E13" s="133">
        <f>'Lớp 10'!S335</f>
        <v>300.5</v>
      </c>
      <c r="F13" s="133">
        <f>'Lớp 10'!S372</f>
        <v>300</v>
      </c>
      <c r="G13" s="133">
        <f>'Lớp 10'!S405</f>
        <v>296</v>
      </c>
      <c r="H13" s="133">
        <f>'Lớp 10'!S437</f>
        <v>298.5</v>
      </c>
      <c r="I13" s="134">
        <f t="shared" si="1"/>
        <v>298.57</v>
      </c>
      <c r="J13" s="135">
        <f t="shared" si="2"/>
        <v>8</v>
      </c>
    </row>
    <row r="14">
      <c r="A14" s="132">
        <v>45848.0</v>
      </c>
      <c r="B14" s="133">
        <f>'Lớp 10'!S237</f>
        <v>300</v>
      </c>
      <c r="C14" s="133">
        <f>'Lớp 10'!S271</f>
        <v>300</v>
      </c>
      <c r="D14" s="133">
        <f>'Lớp 10'!S303</f>
        <v>300</v>
      </c>
      <c r="E14" s="133">
        <f>'Lớp 10'!S336</f>
        <v>301.5</v>
      </c>
      <c r="F14" s="133">
        <f>'Lớp 10'!S373</f>
        <v>300</v>
      </c>
      <c r="G14" s="133">
        <f>'Lớp 10'!S406</f>
        <v>300</v>
      </c>
      <c r="H14" s="133">
        <f>'Lớp 10'!S438</f>
        <v>300.5</v>
      </c>
      <c r="I14" s="134">
        <f t="shared" si="1"/>
        <v>300.29</v>
      </c>
      <c r="J14" s="135">
        <f t="shared" si="2"/>
        <v>3</v>
      </c>
    </row>
    <row r="15">
      <c r="A15" s="132">
        <v>45879.0</v>
      </c>
      <c r="B15" s="133">
        <f>'Lớp 10'!S238</f>
        <v>297.5</v>
      </c>
      <c r="C15" s="133">
        <f>'Lớp 10'!S272</f>
        <v>300</v>
      </c>
      <c r="D15" s="133">
        <f>'Lớp 10'!S304</f>
        <v>302</v>
      </c>
      <c r="E15" s="133">
        <f>'Lớp 10'!S337</f>
        <v>304</v>
      </c>
      <c r="F15" s="133">
        <f>'Lớp 10'!S374</f>
        <v>299.5</v>
      </c>
      <c r="G15" s="133">
        <f>'Lớp 10'!S407</f>
        <v>301</v>
      </c>
      <c r="H15" s="133">
        <f>'Lớp 10'!S439</f>
        <v>303</v>
      </c>
      <c r="I15" s="134">
        <f t="shared" si="1"/>
        <v>301</v>
      </c>
      <c r="J15" s="135">
        <f t="shared" si="2"/>
        <v>1</v>
      </c>
    </row>
    <row r="16">
      <c r="A16" s="132">
        <v>45910.0</v>
      </c>
      <c r="B16" s="133">
        <f>'Lớp 10'!S239</f>
        <v>298</v>
      </c>
      <c r="C16" s="133">
        <f>'Lớp 10'!S273</f>
        <v>298</v>
      </c>
      <c r="D16" s="133">
        <f>'Lớp 10'!S305</f>
        <v>296</v>
      </c>
      <c r="E16" s="133">
        <f>'Lớp 10'!S338</f>
        <v>299.5</v>
      </c>
      <c r="F16" s="133">
        <f>'Lớp 10'!S375</f>
        <v>299</v>
      </c>
      <c r="G16" s="133">
        <f>'Lớp 10'!S408</f>
        <v>298.5</v>
      </c>
      <c r="H16" s="133">
        <f>'Lớp 10'!S440</f>
        <v>301.5</v>
      </c>
      <c r="I16" s="134">
        <f t="shared" si="1"/>
        <v>298.64</v>
      </c>
      <c r="J16" s="135">
        <f t="shared" si="2"/>
        <v>7</v>
      </c>
    </row>
    <row r="17">
      <c r="A17" s="132">
        <v>45940.0</v>
      </c>
      <c r="B17" s="133">
        <f>'Lớp 10'!S240</f>
        <v>298</v>
      </c>
      <c r="C17" s="133">
        <f>'Lớp 10'!S274</f>
        <v>294</v>
      </c>
      <c r="D17" s="133">
        <f>'Lớp 10'!S306</f>
        <v>294</v>
      </c>
      <c r="E17" s="133">
        <f>'Lớp 10'!S339</f>
        <v>302.5</v>
      </c>
      <c r="F17" s="133">
        <f>'Lớp 10'!S376</f>
        <v>299.5</v>
      </c>
      <c r="G17" s="133">
        <f>'Lớp 10'!S409</f>
        <v>299</v>
      </c>
      <c r="H17" s="133">
        <f>'Lớp 10'!S441</f>
        <v>301</v>
      </c>
      <c r="I17" s="134">
        <f t="shared" si="1"/>
        <v>298.29</v>
      </c>
      <c r="J17" s="135">
        <f t="shared" si="2"/>
        <v>10</v>
      </c>
    </row>
    <row r="18">
      <c r="A18" s="132">
        <v>45971.0</v>
      </c>
      <c r="B18" s="133">
        <f>'Lớp 10'!S241</f>
        <v>296</v>
      </c>
      <c r="C18" s="133">
        <f>'Lớp 10'!S275</f>
        <v>297.5</v>
      </c>
      <c r="D18" s="133">
        <f>'Lớp 10'!S307</f>
        <v>295</v>
      </c>
      <c r="E18" s="133">
        <f>'Lớp 10'!S340</f>
        <v>294.5</v>
      </c>
      <c r="F18" s="133">
        <f>'Lớp 10'!S377</f>
        <v>298.5</v>
      </c>
      <c r="G18" s="133">
        <f>'Lớp 10'!S410</f>
        <v>291</v>
      </c>
      <c r="H18" s="133">
        <f>'Lớp 10'!S442</f>
        <v>298.5</v>
      </c>
      <c r="I18" s="134">
        <f t="shared" si="1"/>
        <v>295.86</v>
      </c>
      <c r="J18" s="135">
        <f t="shared" si="2"/>
        <v>12</v>
      </c>
    </row>
    <row r="19">
      <c r="A19" s="132">
        <v>46001.0</v>
      </c>
      <c r="B19" s="133">
        <f>'Lớp 10'!S242</f>
        <v>296.5</v>
      </c>
      <c r="C19" s="133">
        <f>'Lớp 10'!S276</f>
        <v>300</v>
      </c>
      <c r="D19" s="133">
        <f>'Lớp 10'!S308</f>
        <v>301.5</v>
      </c>
      <c r="E19" s="133">
        <f>'Lớp 10'!S341</f>
        <v>302</v>
      </c>
      <c r="F19" s="133">
        <f>'Lớp 10'!S378</f>
        <v>300</v>
      </c>
      <c r="G19" s="133">
        <f>'Lớp 10'!S411</f>
        <v>301</v>
      </c>
      <c r="H19" s="133">
        <f>'Lớp 10'!S443</f>
        <v>302.5</v>
      </c>
      <c r="I19" s="134">
        <f t="shared" si="1"/>
        <v>300.5</v>
      </c>
      <c r="J19" s="135">
        <f t="shared" si="2"/>
        <v>2</v>
      </c>
    </row>
    <row r="20">
      <c r="A20" s="129"/>
      <c r="B20" s="129"/>
      <c r="C20" s="129"/>
      <c r="D20" s="129"/>
      <c r="E20" s="129"/>
      <c r="F20" s="129"/>
      <c r="G20" s="129"/>
      <c r="H20" s="129"/>
      <c r="I20" s="129"/>
      <c r="J20" s="129"/>
    </row>
    <row r="21">
      <c r="A21" s="129"/>
      <c r="B21" s="129"/>
      <c r="C21" s="129"/>
      <c r="D21" s="129"/>
      <c r="E21" s="136" t="s">
        <v>681</v>
      </c>
    </row>
    <row r="22">
      <c r="A22" s="128" t="s">
        <v>682</v>
      </c>
      <c r="D22" s="129"/>
      <c r="E22" s="128" t="s">
        <v>683</v>
      </c>
    </row>
    <row r="23">
      <c r="A23" s="128" t="s">
        <v>684</v>
      </c>
      <c r="D23" s="129"/>
      <c r="E23" s="128" t="s">
        <v>685</v>
      </c>
    </row>
    <row r="24">
      <c r="A24" s="129"/>
      <c r="B24" s="129"/>
      <c r="C24" s="129"/>
      <c r="D24" s="129"/>
      <c r="E24" s="129"/>
      <c r="F24" s="129"/>
      <c r="G24" s="129"/>
      <c r="H24" s="129"/>
      <c r="I24" s="129"/>
      <c r="J24" s="129"/>
    </row>
    <row r="25">
      <c r="A25" s="129"/>
      <c r="B25" s="129"/>
      <c r="C25" s="129"/>
      <c r="D25" s="129"/>
      <c r="E25" s="129"/>
      <c r="F25" s="129"/>
      <c r="G25" s="129"/>
      <c r="H25" s="129"/>
      <c r="I25" s="129"/>
      <c r="J25" s="129"/>
    </row>
    <row r="26">
      <c r="A26" s="129"/>
      <c r="B26" s="129"/>
      <c r="C26" s="129"/>
      <c r="D26" s="129"/>
      <c r="E26" s="129"/>
      <c r="F26" s="129"/>
      <c r="G26" s="129"/>
      <c r="H26" s="129"/>
      <c r="I26" s="129"/>
      <c r="J26" s="129"/>
    </row>
    <row r="27">
      <c r="A27" s="128" t="s">
        <v>686</v>
      </c>
      <c r="D27" s="129"/>
      <c r="E27" s="128" t="s">
        <v>687</v>
      </c>
    </row>
    <row r="28">
      <c r="A28" s="129"/>
      <c r="B28" s="129"/>
      <c r="C28" s="129"/>
      <c r="D28" s="129"/>
      <c r="E28" s="129"/>
      <c r="F28" s="129"/>
      <c r="G28" s="129"/>
      <c r="H28" s="129"/>
      <c r="I28" s="129"/>
      <c r="J28" s="129"/>
    </row>
    <row r="29">
      <c r="A29" s="127"/>
      <c r="B29" s="127"/>
      <c r="C29" s="127"/>
      <c r="D29" s="127"/>
      <c r="E29" s="127"/>
      <c r="F29" s="127"/>
      <c r="G29" s="127"/>
      <c r="H29" s="127"/>
      <c r="I29" s="127"/>
      <c r="J29" s="127"/>
    </row>
    <row r="30">
      <c r="A30" s="126" t="s">
        <v>668</v>
      </c>
      <c r="E30" s="127"/>
      <c r="F30" s="127"/>
      <c r="G30" s="127"/>
      <c r="H30" s="127"/>
      <c r="I30" s="127"/>
      <c r="J30" s="127"/>
    </row>
    <row r="31">
      <c r="A31" s="128" t="s">
        <v>669</v>
      </c>
      <c r="E31" s="127"/>
      <c r="F31" s="127"/>
      <c r="G31" s="127"/>
      <c r="H31" s="127"/>
      <c r="I31" s="127"/>
      <c r="J31" s="127"/>
    </row>
    <row r="32">
      <c r="A32" s="127"/>
      <c r="B32" s="127"/>
      <c r="C32" s="127"/>
      <c r="D32" s="127"/>
      <c r="E32" s="127"/>
      <c r="F32" s="127"/>
      <c r="G32" s="127"/>
      <c r="H32" s="127"/>
      <c r="I32" s="127"/>
      <c r="J32" s="127"/>
    </row>
    <row r="33">
      <c r="A33" s="128" t="s">
        <v>700</v>
      </c>
    </row>
    <row r="34">
      <c r="A34" s="129"/>
      <c r="B34" s="129"/>
      <c r="C34" s="129"/>
      <c r="D34" s="129"/>
      <c r="E34" s="129"/>
      <c r="F34" s="129"/>
      <c r="G34" s="129"/>
      <c r="H34" s="129"/>
      <c r="I34" s="129"/>
      <c r="J34" s="129"/>
    </row>
    <row r="35">
      <c r="A35" s="129"/>
      <c r="B35" s="129"/>
      <c r="C35" s="129"/>
      <c r="D35" s="129"/>
      <c r="E35" s="129"/>
      <c r="F35" s="129"/>
      <c r="G35" s="129"/>
      <c r="H35" s="129"/>
      <c r="I35" s="129"/>
      <c r="J35" s="129"/>
    </row>
    <row r="36">
      <c r="A36" s="137" t="s">
        <v>689</v>
      </c>
      <c r="B36" s="131" t="s">
        <v>693</v>
      </c>
      <c r="C36" s="131" t="s">
        <v>694</v>
      </c>
      <c r="D36" s="131" t="s">
        <v>695</v>
      </c>
      <c r="E36" s="131" t="s">
        <v>696</v>
      </c>
      <c r="F36" s="131" t="s">
        <v>697</v>
      </c>
      <c r="G36" s="131" t="s">
        <v>698</v>
      </c>
      <c r="H36" s="131" t="s">
        <v>699</v>
      </c>
      <c r="I36" s="138" t="s">
        <v>679</v>
      </c>
      <c r="J36" s="138" t="s">
        <v>680</v>
      </c>
    </row>
    <row r="37">
      <c r="A37" s="139">
        <v>45668.0</v>
      </c>
      <c r="B37" s="140">
        <f>'Lớp 11'!S267</f>
        <v>300</v>
      </c>
      <c r="C37" s="140">
        <f>'Lớp 11'!S300</f>
        <v>299</v>
      </c>
      <c r="D37" s="140">
        <f>'Lớp 11'!S333</f>
        <v>300</v>
      </c>
      <c r="E37" s="140">
        <f>'Lớp 11'!S370</f>
        <v>303.5</v>
      </c>
      <c r="F37" s="140">
        <f>'Lớp 11'!S416</f>
        <v>301</v>
      </c>
      <c r="G37" s="140">
        <f>'Lớp 11'!S454</f>
        <v>301</v>
      </c>
      <c r="H37" s="140">
        <f>'Lớp 11'!S489</f>
        <v>301.5</v>
      </c>
      <c r="I37" s="141">
        <f t="shared" ref="I37:I50" si="3">ROUND(AVERAGE(B37:H37),2)</f>
        <v>300.86</v>
      </c>
      <c r="J37" s="142">
        <f t="shared" ref="J37:J50" si="4">RANK(I37,$I$37:$I$50,0)</f>
        <v>2</v>
      </c>
    </row>
    <row r="38">
      <c r="A38" s="132">
        <v>45699.0</v>
      </c>
      <c r="B38" s="140">
        <f>'Lớp 11'!S268</f>
        <v>300</v>
      </c>
      <c r="C38" s="140">
        <f>'Lớp 11'!S301</f>
        <v>299</v>
      </c>
      <c r="D38" s="140">
        <f>'Lớp 11'!S334</f>
        <v>299</v>
      </c>
      <c r="E38" s="140">
        <f>'Lớp 11'!S371</f>
        <v>303</v>
      </c>
      <c r="F38" s="140">
        <f>'Lớp 11'!S417</f>
        <v>298</v>
      </c>
      <c r="G38" s="140">
        <f>'Lớp 11'!S455</f>
        <v>300</v>
      </c>
      <c r="H38" s="140">
        <f>'Lớp 11'!S490</f>
        <v>300</v>
      </c>
      <c r="I38" s="141">
        <f t="shared" si="3"/>
        <v>299.86</v>
      </c>
      <c r="J38" s="142">
        <f t="shared" si="4"/>
        <v>8</v>
      </c>
    </row>
    <row r="39">
      <c r="A39" s="132">
        <v>45727.0</v>
      </c>
      <c r="B39" s="140">
        <f>'Lớp 11'!S269</f>
        <v>299</v>
      </c>
      <c r="C39" s="140">
        <f>'Lớp 11'!S302</f>
        <v>294.5</v>
      </c>
      <c r="D39" s="140">
        <f>'Lớp 11'!S335</f>
        <v>300.5</v>
      </c>
      <c r="E39" s="140">
        <f>'Lớp 11'!S372</f>
        <v>300.5</v>
      </c>
      <c r="F39" s="140">
        <f>'Lớp 11'!S418</f>
        <v>300.5</v>
      </c>
      <c r="G39" s="140">
        <f>'Lớp 11'!S456</f>
        <v>299.5</v>
      </c>
      <c r="H39" s="140">
        <f>'Lớp 11'!S491</f>
        <v>300</v>
      </c>
      <c r="I39" s="141">
        <f t="shared" si="3"/>
        <v>299.21</v>
      </c>
      <c r="J39" s="142">
        <f t="shared" si="4"/>
        <v>9</v>
      </c>
    </row>
    <row r="40">
      <c r="A40" s="132">
        <v>45758.0</v>
      </c>
      <c r="B40" s="140">
        <f>'Lớp 11'!S270</f>
        <v>299.5</v>
      </c>
      <c r="C40" s="140">
        <f>'Lớp 11'!S303</f>
        <v>299</v>
      </c>
      <c r="D40" s="140">
        <f>'Lớp 11'!S336</f>
        <v>299.5</v>
      </c>
      <c r="E40" s="140">
        <f>'Lớp 11'!S373</f>
        <v>302.5</v>
      </c>
      <c r="F40" s="140">
        <f>'Lớp 11'!S419</f>
        <v>301</v>
      </c>
      <c r="G40" s="140">
        <f>'Lớp 11'!S457</f>
        <v>298.5</v>
      </c>
      <c r="H40" s="140">
        <f>'Lớp 11'!S492</f>
        <v>300</v>
      </c>
      <c r="I40" s="141">
        <f t="shared" si="3"/>
        <v>300</v>
      </c>
      <c r="J40" s="142">
        <f t="shared" si="4"/>
        <v>7</v>
      </c>
    </row>
    <row r="41">
      <c r="A41" s="132">
        <v>45788.0</v>
      </c>
      <c r="B41" s="140">
        <f>'Lớp 11'!S271</f>
        <v>297.5</v>
      </c>
      <c r="C41" s="140">
        <f>'Lớp 11'!S304</f>
        <v>298.5</v>
      </c>
      <c r="D41" s="140">
        <f>'Lớp 11'!S337</f>
        <v>302</v>
      </c>
      <c r="E41" s="140">
        <f>'Lớp 11'!S374</f>
        <v>303.5</v>
      </c>
      <c r="F41" s="140">
        <f>'Lớp 11'!S420</f>
        <v>300.5</v>
      </c>
      <c r="G41" s="140">
        <f>'Lớp 11'!S458</f>
        <v>301</v>
      </c>
      <c r="H41" s="140">
        <f>'Lớp 11'!S493</f>
        <v>302</v>
      </c>
      <c r="I41" s="141">
        <f t="shared" si="3"/>
        <v>300.71</v>
      </c>
      <c r="J41" s="142">
        <f t="shared" si="4"/>
        <v>3</v>
      </c>
    </row>
    <row r="42">
      <c r="A42" s="132">
        <v>45819.0</v>
      </c>
      <c r="B42" s="140">
        <f>'Lớp 11'!S272</f>
        <v>295.5</v>
      </c>
      <c r="C42" s="140">
        <f>'Lớp 11'!S305</f>
        <v>296.5</v>
      </c>
      <c r="D42" s="140">
        <f>'Lớp 11'!S338</f>
        <v>294</v>
      </c>
      <c r="E42" s="140">
        <f>'Lớp 11'!S375</f>
        <v>290</v>
      </c>
      <c r="F42" s="140">
        <f>'Lớp 11'!S421</f>
        <v>295.5</v>
      </c>
      <c r="G42" s="140">
        <f>'Lớp 11'!S459</f>
        <v>296</v>
      </c>
      <c r="H42" s="140">
        <f>'Lớp 11'!S494</f>
        <v>299</v>
      </c>
      <c r="I42" s="141">
        <f t="shared" si="3"/>
        <v>295.21</v>
      </c>
      <c r="J42" s="142">
        <f t="shared" si="4"/>
        <v>14</v>
      </c>
    </row>
    <row r="43">
      <c r="A43" s="132">
        <v>45849.0</v>
      </c>
      <c r="B43" s="140">
        <f>'Lớp 11'!S273</f>
        <v>297</v>
      </c>
      <c r="C43" s="140">
        <f>'Lớp 11'!S306</f>
        <v>298</v>
      </c>
      <c r="D43" s="140">
        <f>'Lớp 11'!S339</f>
        <v>300.5</v>
      </c>
      <c r="E43" s="140">
        <f>'Lớp 11'!S376</f>
        <v>300.5</v>
      </c>
      <c r="F43" s="140">
        <f>'Lớp 11'!S422</f>
        <v>297.5</v>
      </c>
      <c r="G43" s="140">
        <f>'Lớp 11'!S460</f>
        <v>300</v>
      </c>
      <c r="H43" s="140">
        <f>'Lớp 11'!S495</f>
        <v>300</v>
      </c>
      <c r="I43" s="141">
        <f t="shared" si="3"/>
        <v>299.07</v>
      </c>
      <c r="J43" s="142">
        <f t="shared" si="4"/>
        <v>11</v>
      </c>
    </row>
    <row r="44">
      <c r="A44" s="132">
        <v>45880.0</v>
      </c>
      <c r="B44" s="140">
        <f>'Lớp 11'!S274</f>
        <v>296.5</v>
      </c>
      <c r="C44" s="140">
        <f>'Lớp 11'!S307</f>
        <v>298.5</v>
      </c>
      <c r="D44" s="140">
        <f>'Lớp 11'!S340</f>
        <v>294</v>
      </c>
      <c r="E44" s="140">
        <f>'Lớp 11'!S377</f>
        <v>300</v>
      </c>
      <c r="F44" s="140">
        <f>'Lớp 11'!S423</f>
        <v>297.5</v>
      </c>
      <c r="G44" s="140">
        <f>'Lớp 11'!S461</f>
        <v>295</v>
      </c>
      <c r="H44" s="140">
        <f>'Lớp 11'!S496</f>
        <v>299</v>
      </c>
      <c r="I44" s="141">
        <f t="shared" si="3"/>
        <v>297.21</v>
      </c>
      <c r="J44" s="142">
        <f t="shared" si="4"/>
        <v>13</v>
      </c>
    </row>
    <row r="45">
      <c r="A45" s="132">
        <v>45911.0</v>
      </c>
      <c r="B45" s="140">
        <f>'Lớp 11'!S275</f>
        <v>295</v>
      </c>
      <c r="C45" s="140">
        <f>'Lớp 11'!S308</f>
        <v>298</v>
      </c>
      <c r="D45" s="140">
        <f>'Lớp 11'!S341</f>
        <v>302</v>
      </c>
      <c r="E45" s="140">
        <f>'Lớp 11'!S378</f>
        <v>300.5</v>
      </c>
      <c r="F45" s="140">
        <f>'Lớp 11'!S424</f>
        <v>300.5</v>
      </c>
      <c r="G45" s="140">
        <f>'Lớp 11'!S462</f>
        <v>298.5</v>
      </c>
      <c r="H45" s="140">
        <f>'Lớp 11'!S497</f>
        <v>300</v>
      </c>
      <c r="I45" s="141">
        <f t="shared" si="3"/>
        <v>299.21</v>
      </c>
      <c r="J45" s="142">
        <f t="shared" si="4"/>
        <v>9</v>
      </c>
    </row>
    <row r="46">
      <c r="A46" s="132">
        <v>45941.0</v>
      </c>
      <c r="B46" s="140">
        <f>'Lớp 11'!S276</f>
        <v>300</v>
      </c>
      <c r="C46" s="140">
        <f>'Lớp 11'!S309</f>
        <v>300</v>
      </c>
      <c r="D46" s="140">
        <f>'Lớp 11'!S342</f>
        <v>302</v>
      </c>
      <c r="E46" s="140">
        <f>'Lớp 11'!S379</f>
        <v>304</v>
      </c>
      <c r="F46" s="140">
        <f>'Lớp 11'!S425</f>
        <v>299</v>
      </c>
      <c r="G46" s="140">
        <f>'Lớp 11'!S463</f>
        <v>303</v>
      </c>
      <c r="H46" s="140">
        <f>'Lớp 11'!S498</f>
        <v>300</v>
      </c>
      <c r="I46" s="141">
        <f t="shared" si="3"/>
        <v>301.14</v>
      </c>
      <c r="J46" s="142">
        <f t="shared" si="4"/>
        <v>1</v>
      </c>
    </row>
    <row r="47">
      <c r="A47" s="132">
        <v>45972.0</v>
      </c>
      <c r="B47" s="140">
        <f>'Lớp 11'!S277</f>
        <v>299</v>
      </c>
      <c r="C47" s="140">
        <f>'Lớp 11'!S310</f>
        <v>300</v>
      </c>
      <c r="D47" s="140">
        <f>'Lớp 11'!S343</f>
        <v>301.5</v>
      </c>
      <c r="E47" s="140">
        <f>'Lớp 11'!S380</f>
        <v>302</v>
      </c>
      <c r="F47" s="140">
        <f>'Lớp 11'!S426</f>
        <v>300</v>
      </c>
      <c r="G47" s="140">
        <f>'Lớp 11'!S464</f>
        <v>299</v>
      </c>
      <c r="H47" s="140">
        <f>'Lớp 11'!S499</f>
        <v>300</v>
      </c>
      <c r="I47" s="141">
        <f t="shared" si="3"/>
        <v>300.21</v>
      </c>
      <c r="J47" s="142">
        <f t="shared" si="4"/>
        <v>6</v>
      </c>
    </row>
    <row r="48">
      <c r="A48" s="132">
        <v>46002.0</v>
      </c>
      <c r="B48" s="140">
        <f>'Lớp 11'!S278</f>
        <v>300</v>
      </c>
      <c r="C48" s="140">
        <f>'Lớp 11'!S311</f>
        <v>300</v>
      </c>
      <c r="D48" s="140">
        <f>'Lớp 11'!S344</f>
        <v>301</v>
      </c>
      <c r="E48" s="140">
        <f>'Lớp 11'!S381</f>
        <v>303</v>
      </c>
      <c r="F48" s="140">
        <f>'Lớp 11'!S427</f>
        <v>300.5</v>
      </c>
      <c r="G48" s="140">
        <f>'Lớp 11'!S465</f>
        <v>300.5</v>
      </c>
      <c r="H48" s="140">
        <f>'Lớp 11'!S500</f>
        <v>299.5</v>
      </c>
      <c r="I48" s="141">
        <f t="shared" si="3"/>
        <v>300.64</v>
      </c>
      <c r="J48" s="142">
        <f t="shared" si="4"/>
        <v>4</v>
      </c>
    </row>
    <row r="49">
      <c r="A49" s="143" t="s">
        <v>251</v>
      </c>
      <c r="B49" s="140">
        <f>'Lớp 11'!S279</f>
        <v>299</v>
      </c>
      <c r="C49" s="140">
        <f>'Lớp 11'!S312</f>
        <v>300</v>
      </c>
      <c r="D49" s="140">
        <f>'Lớp 11'!S345</f>
        <v>299.5</v>
      </c>
      <c r="E49" s="140">
        <f>'Lớp 11'!S382</f>
        <v>303.5</v>
      </c>
      <c r="F49" s="140">
        <f>'Lớp 11'!S428</f>
        <v>300</v>
      </c>
      <c r="G49" s="140">
        <f>'Lớp 11'!S466</f>
        <v>301</v>
      </c>
      <c r="H49" s="140">
        <f>'Lớp 11'!S501</f>
        <v>300.5</v>
      </c>
      <c r="I49" s="141">
        <f t="shared" si="3"/>
        <v>300.5</v>
      </c>
      <c r="J49" s="142">
        <f t="shared" si="4"/>
        <v>5</v>
      </c>
    </row>
    <row r="50">
      <c r="A50" s="144" t="s">
        <v>252</v>
      </c>
      <c r="B50" s="140">
        <f>'Lớp 11'!S280</f>
        <v>297.5</v>
      </c>
      <c r="C50" s="140">
        <f>'Lớp 11'!S313</f>
        <v>298.5</v>
      </c>
      <c r="D50" s="140">
        <f>'Lớp 11'!S346</f>
        <v>297.5</v>
      </c>
      <c r="E50" s="140">
        <f>'Lớp 11'!S383</f>
        <v>301</v>
      </c>
      <c r="F50" s="140">
        <f>'Lớp 11'!S429</f>
        <v>297</v>
      </c>
      <c r="G50" s="140">
        <f>'Lớp 11'!S467</f>
        <v>299</v>
      </c>
      <c r="H50" s="140">
        <f>'Lớp 11'!S502</f>
        <v>299.5</v>
      </c>
      <c r="I50" s="141">
        <f t="shared" si="3"/>
        <v>298.57</v>
      </c>
      <c r="J50" s="142">
        <f t="shared" si="4"/>
        <v>12</v>
      </c>
    </row>
    <row r="51">
      <c r="A51" s="129"/>
      <c r="B51" s="129"/>
      <c r="C51" s="129"/>
      <c r="D51" s="129"/>
      <c r="E51" s="129"/>
      <c r="F51" s="129"/>
      <c r="G51" s="129"/>
      <c r="H51" s="129"/>
      <c r="I51" s="129"/>
      <c r="J51" s="129"/>
    </row>
    <row r="52">
      <c r="A52" s="129"/>
      <c r="B52" s="129"/>
      <c r="C52" s="129"/>
      <c r="D52" s="129"/>
      <c r="E52" s="136" t="s">
        <v>681</v>
      </c>
    </row>
    <row r="53">
      <c r="A53" s="128" t="s">
        <v>682</v>
      </c>
      <c r="D53" s="129"/>
      <c r="E53" s="128" t="s">
        <v>683</v>
      </c>
    </row>
    <row r="54">
      <c r="A54" s="128" t="s">
        <v>684</v>
      </c>
      <c r="D54" s="129"/>
      <c r="E54" s="128" t="s">
        <v>685</v>
      </c>
    </row>
    <row r="55">
      <c r="A55" s="129"/>
      <c r="B55" s="129"/>
      <c r="C55" s="129"/>
      <c r="D55" s="129"/>
      <c r="E55" s="129"/>
      <c r="F55" s="129"/>
      <c r="G55" s="129"/>
      <c r="H55" s="129"/>
      <c r="I55" s="129"/>
      <c r="J55" s="129"/>
    </row>
    <row r="56">
      <c r="A56" s="129"/>
      <c r="B56" s="129"/>
      <c r="C56" s="129"/>
      <c r="D56" s="129"/>
      <c r="E56" s="129"/>
      <c r="F56" s="129"/>
      <c r="G56" s="129"/>
      <c r="H56" s="129"/>
      <c r="I56" s="129"/>
      <c r="J56" s="129"/>
    </row>
    <row r="57">
      <c r="A57" s="129"/>
      <c r="B57" s="129"/>
      <c r="C57" s="129"/>
      <c r="D57" s="129"/>
      <c r="E57" s="129"/>
      <c r="F57" s="129"/>
      <c r="G57" s="129"/>
      <c r="H57" s="129"/>
      <c r="I57" s="129"/>
      <c r="J57" s="129"/>
    </row>
    <row r="58">
      <c r="A58" s="128" t="s">
        <v>686</v>
      </c>
      <c r="D58" s="129"/>
      <c r="E58" s="128" t="s">
        <v>687</v>
      </c>
    </row>
    <row r="59">
      <c r="A59" s="145"/>
      <c r="B59" s="145"/>
      <c r="C59" s="145"/>
      <c r="D59" s="145"/>
      <c r="E59" s="145"/>
      <c r="F59" s="145"/>
      <c r="G59" s="145"/>
      <c r="H59" s="145"/>
      <c r="I59" s="145"/>
      <c r="J59" s="145"/>
    </row>
    <row r="60">
      <c r="A60" s="145"/>
      <c r="B60" s="145"/>
      <c r="C60" s="145"/>
      <c r="D60" s="145"/>
      <c r="E60" s="145"/>
      <c r="F60" s="145"/>
      <c r="G60" s="145"/>
      <c r="H60" s="145"/>
      <c r="I60" s="145"/>
      <c r="J60" s="145"/>
    </row>
    <row r="61">
      <c r="A61" s="126" t="s">
        <v>668</v>
      </c>
      <c r="E61" s="145"/>
      <c r="F61" s="145"/>
      <c r="G61" s="145"/>
      <c r="H61" s="145"/>
      <c r="I61" s="145"/>
      <c r="J61" s="145"/>
    </row>
    <row r="62">
      <c r="A62" s="128" t="s">
        <v>669</v>
      </c>
      <c r="E62" s="145"/>
      <c r="F62" s="145"/>
      <c r="G62" s="145"/>
      <c r="H62" s="145"/>
      <c r="I62" s="145"/>
      <c r="J62" s="145"/>
    </row>
    <row r="63">
      <c r="A63" s="145"/>
      <c r="B63" s="145"/>
      <c r="C63" s="145"/>
      <c r="D63" s="145"/>
      <c r="E63" s="145"/>
      <c r="F63" s="145"/>
      <c r="G63" s="145"/>
      <c r="H63" s="145"/>
      <c r="I63" s="145"/>
      <c r="J63" s="145"/>
    </row>
    <row r="64">
      <c r="A64" s="128" t="s">
        <v>701</v>
      </c>
    </row>
    <row r="65">
      <c r="A65" s="145"/>
      <c r="B65" s="145"/>
      <c r="C65" s="145"/>
      <c r="D65" s="145"/>
      <c r="E65" s="145"/>
      <c r="F65" s="145"/>
      <c r="G65" s="145"/>
      <c r="H65" s="145"/>
      <c r="I65" s="145"/>
      <c r="J65" s="145"/>
    </row>
    <row r="66">
      <c r="A66" s="137" t="s">
        <v>691</v>
      </c>
      <c r="B66" s="131" t="s">
        <v>693</v>
      </c>
      <c r="C66" s="131" t="s">
        <v>694</v>
      </c>
      <c r="D66" s="131" t="s">
        <v>695</v>
      </c>
      <c r="E66" s="131" t="s">
        <v>696</v>
      </c>
      <c r="F66" s="131" t="s">
        <v>697</v>
      </c>
      <c r="G66" s="131" t="s">
        <v>698</v>
      </c>
      <c r="H66" s="131" t="s">
        <v>699</v>
      </c>
      <c r="I66" s="138" t="s">
        <v>679</v>
      </c>
      <c r="J66" s="138" t="s">
        <v>680</v>
      </c>
    </row>
    <row r="67">
      <c r="A67" s="139">
        <v>45669.0</v>
      </c>
      <c r="B67" s="140">
        <f>'Lớp 12'!S257</f>
        <v>300</v>
      </c>
      <c r="C67" s="140">
        <f>'Lớp 12'!S289</f>
        <v>299.5</v>
      </c>
      <c r="D67" s="140">
        <f>'Lớp 12'!S324</f>
        <v>301.5</v>
      </c>
      <c r="E67" s="140">
        <f>'Lớp 12'!S356</f>
        <v>300.5</v>
      </c>
      <c r="F67" s="140">
        <f>'Lớp 12'!S391</f>
        <v>300</v>
      </c>
      <c r="G67" s="140">
        <f>'Lớp 12'!S428</f>
        <v>300</v>
      </c>
      <c r="H67" s="140">
        <f>'Lớp 12'!S463</f>
        <v>300</v>
      </c>
      <c r="I67" s="141">
        <f t="shared" ref="I67:I80" si="5">round(average(B67:H67),2)</f>
        <v>300.21</v>
      </c>
      <c r="J67" s="142">
        <f t="shared" ref="J67:J80" si="6">rank(I67,$I$67:$I$80,0)</f>
        <v>2</v>
      </c>
    </row>
    <row r="68">
      <c r="A68" s="132">
        <v>45700.0</v>
      </c>
      <c r="B68" s="140">
        <f>'Lớp 12'!S258</f>
        <v>298</v>
      </c>
      <c r="C68" s="140">
        <f>'Lớp 12'!S290</f>
        <v>297</v>
      </c>
      <c r="D68" s="140">
        <f>'Lớp 12'!S325</f>
        <v>298.5</v>
      </c>
      <c r="E68" s="140">
        <f>'Lớp 12'!S357</f>
        <v>298.5</v>
      </c>
      <c r="F68" s="140">
        <f>'Lớp 12'!S392</f>
        <v>295.5</v>
      </c>
      <c r="G68" s="140">
        <f>'Lớp 12'!S429</f>
        <v>299</v>
      </c>
      <c r="H68" s="140">
        <f>'Lớp 12'!S464</f>
        <v>299</v>
      </c>
      <c r="I68" s="141">
        <f t="shared" si="5"/>
        <v>297.93</v>
      </c>
      <c r="J68" s="142">
        <f t="shared" si="6"/>
        <v>14</v>
      </c>
    </row>
    <row r="69">
      <c r="A69" s="132">
        <v>45728.0</v>
      </c>
      <c r="B69" s="140">
        <f>'Lớp 12'!S259</f>
        <v>300</v>
      </c>
      <c r="C69" s="140">
        <f>'Lớp 12'!S291</f>
        <v>295</v>
      </c>
      <c r="D69" s="140">
        <f>'Lớp 12'!S326</f>
        <v>300</v>
      </c>
      <c r="E69" s="140">
        <f>'Lớp 12'!S358</f>
        <v>301.5</v>
      </c>
      <c r="F69" s="140">
        <f>'Lớp 12'!S393</f>
        <v>298.5</v>
      </c>
      <c r="G69" s="140">
        <f>'Lớp 12'!S430</f>
        <v>295.5</v>
      </c>
      <c r="H69" s="140">
        <f>'Lớp 12'!S465</f>
        <v>299.5</v>
      </c>
      <c r="I69" s="141">
        <f t="shared" si="5"/>
        <v>298.57</v>
      </c>
      <c r="J69" s="142">
        <f t="shared" si="6"/>
        <v>13</v>
      </c>
    </row>
    <row r="70">
      <c r="A70" s="132">
        <v>45759.0</v>
      </c>
      <c r="B70" s="140">
        <f>'Lớp 12'!S260</f>
        <v>299.5</v>
      </c>
      <c r="C70" s="140">
        <f>'Lớp 12'!S292</f>
        <v>298.5</v>
      </c>
      <c r="D70" s="140">
        <f>'Lớp 12'!S327</f>
        <v>301</v>
      </c>
      <c r="E70" s="140">
        <f>'Lớp 12'!S359</f>
        <v>301</v>
      </c>
      <c r="F70" s="140">
        <f>'Lớp 12'!S394</f>
        <v>299.5</v>
      </c>
      <c r="G70" s="140">
        <f>'Lớp 12'!S431</f>
        <v>296.5</v>
      </c>
      <c r="H70" s="140">
        <f>'Lớp 12'!S466</f>
        <v>300.5</v>
      </c>
      <c r="I70" s="141">
        <f t="shared" si="5"/>
        <v>299.5</v>
      </c>
      <c r="J70" s="142">
        <f t="shared" si="6"/>
        <v>7</v>
      </c>
    </row>
    <row r="71">
      <c r="A71" s="132">
        <v>45789.0</v>
      </c>
      <c r="B71" s="140">
        <f>'Lớp 12'!S261</f>
        <v>299.5</v>
      </c>
      <c r="C71" s="140">
        <f>'Lớp 12'!S293</f>
        <v>300</v>
      </c>
      <c r="D71" s="140">
        <f>'Lớp 12'!S328</f>
        <v>301</v>
      </c>
      <c r="E71" s="140">
        <f>'Lớp 12'!S360</f>
        <v>300</v>
      </c>
      <c r="F71" s="140">
        <f>'Lớp 12'!S395</f>
        <v>299.5</v>
      </c>
      <c r="G71" s="140">
        <f>'Lớp 12'!S432</f>
        <v>298</v>
      </c>
      <c r="H71" s="140">
        <f>'Lớp 12'!S467</f>
        <v>300.5</v>
      </c>
      <c r="I71" s="141">
        <f t="shared" si="5"/>
        <v>299.79</v>
      </c>
      <c r="J71" s="142">
        <f t="shared" si="6"/>
        <v>6</v>
      </c>
    </row>
    <row r="72">
      <c r="A72" s="132">
        <v>45820.0</v>
      </c>
      <c r="B72" s="140">
        <f>'Lớp 12'!S262</f>
        <v>298.5</v>
      </c>
      <c r="C72" s="140">
        <f>'Lớp 12'!S294</f>
        <v>298.5</v>
      </c>
      <c r="D72" s="140">
        <f>'Lớp 12'!S329</f>
        <v>300</v>
      </c>
      <c r="E72" s="140">
        <f>'Lớp 12'!S361</f>
        <v>300</v>
      </c>
      <c r="F72" s="140">
        <f>'Lớp 12'!S396</f>
        <v>299</v>
      </c>
      <c r="G72" s="140">
        <f>'Lớp 12'!S433</f>
        <v>300</v>
      </c>
      <c r="H72" s="140">
        <f>'Lớp 12'!S468</f>
        <v>296</v>
      </c>
      <c r="I72" s="141">
        <f t="shared" si="5"/>
        <v>298.86</v>
      </c>
      <c r="J72" s="142">
        <f t="shared" si="6"/>
        <v>10</v>
      </c>
    </row>
    <row r="73">
      <c r="A73" s="132">
        <v>45850.0</v>
      </c>
      <c r="B73" s="140">
        <f>'Lớp 12'!S263</f>
        <v>298</v>
      </c>
      <c r="C73" s="140">
        <f>'Lớp 12'!S295</f>
        <v>299</v>
      </c>
      <c r="D73" s="140">
        <f>'Lớp 12'!S330</f>
        <v>300</v>
      </c>
      <c r="E73" s="140">
        <f>'Lớp 12'!S362</f>
        <v>298</v>
      </c>
      <c r="F73" s="140">
        <f>'Lớp 12'!S397</f>
        <v>299</v>
      </c>
      <c r="G73" s="140">
        <f>'Lớp 12'!S434</f>
        <v>299</v>
      </c>
      <c r="H73" s="140">
        <f>'Lớp 12'!S469</f>
        <v>300</v>
      </c>
      <c r="I73" s="141">
        <f t="shared" si="5"/>
        <v>299</v>
      </c>
      <c r="J73" s="142">
        <f t="shared" si="6"/>
        <v>9</v>
      </c>
    </row>
    <row r="74">
      <c r="A74" s="132">
        <v>45881.0</v>
      </c>
      <c r="B74" s="140">
        <f>'Lớp 12'!S264</f>
        <v>295.5</v>
      </c>
      <c r="C74" s="140">
        <f>'Lớp 12'!S296</f>
        <v>298.5</v>
      </c>
      <c r="D74" s="140">
        <f>'Lớp 12'!S331</f>
        <v>300</v>
      </c>
      <c r="E74" s="140">
        <f>'Lớp 12'!S363</f>
        <v>300.5</v>
      </c>
      <c r="F74" s="140">
        <f>'Lớp 12'!S398</f>
        <v>299</v>
      </c>
      <c r="G74" s="140">
        <f>'Lớp 12'!S435</f>
        <v>299</v>
      </c>
      <c r="H74" s="140">
        <f>'Lớp 12'!S470</f>
        <v>299</v>
      </c>
      <c r="I74" s="141">
        <f t="shared" si="5"/>
        <v>298.79</v>
      </c>
      <c r="J74" s="142">
        <f t="shared" si="6"/>
        <v>11</v>
      </c>
    </row>
    <row r="75">
      <c r="A75" s="132">
        <v>45912.0</v>
      </c>
      <c r="B75" s="140">
        <f>'Lớp 12'!S265</f>
        <v>300</v>
      </c>
      <c r="C75" s="140">
        <f>'Lớp 12'!S297</f>
        <v>299</v>
      </c>
      <c r="D75" s="140">
        <f>'Lớp 12'!S332</f>
        <v>300.5</v>
      </c>
      <c r="E75" s="140">
        <f>'Lớp 12'!S364</f>
        <v>301.5</v>
      </c>
      <c r="F75" s="140">
        <f>'Lớp 12'!S399</f>
        <v>299</v>
      </c>
      <c r="G75" s="140">
        <f>'Lớp 12'!S436</f>
        <v>300</v>
      </c>
      <c r="H75" s="140">
        <f>'Lớp 12'!S471</f>
        <v>300.5</v>
      </c>
      <c r="I75" s="141">
        <f t="shared" si="5"/>
        <v>300.07</v>
      </c>
      <c r="J75" s="142">
        <f t="shared" si="6"/>
        <v>4</v>
      </c>
    </row>
    <row r="76">
      <c r="A76" s="132">
        <v>45942.0</v>
      </c>
      <c r="B76" s="140">
        <f>'Lớp 12'!S266</f>
        <v>298</v>
      </c>
      <c r="C76" s="140">
        <f>'Lớp 12'!S298</f>
        <v>300</v>
      </c>
      <c r="D76" s="140">
        <f>'Lớp 12'!S333</f>
        <v>299</v>
      </c>
      <c r="E76" s="140">
        <f>'Lớp 12'!S365</f>
        <v>300</v>
      </c>
      <c r="F76" s="140">
        <f>'Lớp 12'!S400</f>
        <v>298.5</v>
      </c>
      <c r="G76" s="140">
        <f>'Lớp 12'!S437</f>
        <v>298</v>
      </c>
      <c r="H76" s="140">
        <f>'Lớp 12'!S472</f>
        <v>300</v>
      </c>
      <c r="I76" s="141">
        <f t="shared" si="5"/>
        <v>299.07</v>
      </c>
      <c r="J76" s="142">
        <f t="shared" si="6"/>
        <v>8</v>
      </c>
    </row>
    <row r="77">
      <c r="A77" s="132">
        <v>45973.0</v>
      </c>
      <c r="B77" s="140">
        <f>'Lớp 12'!S267</f>
        <v>300</v>
      </c>
      <c r="C77" s="140">
        <f>'Lớp 12'!S299</f>
        <v>299.5</v>
      </c>
      <c r="D77" s="140">
        <f>'Lớp 12'!S334</f>
        <v>301</v>
      </c>
      <c r="E77" s="140">
        <f>'Lớp 12'!S366</f>
        <v>300</v>
      </c>
      <c r="F77" s="140">
        <f>'Lớp 12'!S401</f>
        <v>299.5</v>
      </c>
      <c r="G77" s="140">
        <f>'Lớp 12'!S438</f>
        <v>300</v>
      </c>
      <c r="H77" s="140">
        <f>'Lớp 12'!S473</f>
        <v>299.5</v>
      </c>
      <c r="I77" s="141">
        <f t="shared" si="5"/>
        <v>299.93</v>
      </c>
      <c r="J77" s="142">
        <f t="shared" si="6"/>
        <v>5</v>
      </c>
    </row>
    <row r="78">
      <c r="A78" s="132">
        <v>46003.0</v>
      </c>
      <c r="B78" s="140">
        <f>'Lớp 12'!S268</f>
        <v>300</v>
      </c>
      <c r="C78" s="140">
        <f>'Lớp 12'!S300</f>
        <v>299.5</v>
      </c>
      <c r="D78" s="140">
        <f>'Lớp 12'!S335</f>
        <v>298</v>
      </c>
      <c r="E78" s="140">
        <f>'Lớp 12'!S367</f>
        <v>300.5</v>
      </c>
      <c r="F78" s="140">
        <f>'Lớp 12'!S402</f>
        <v>297.5</v>
      </c>
      <c r="G78" s="140">
        <f>'Lớp 12'!S439</f>
        <v>298</v>
      </c>
      <c r="H78" s="140">
        <f>'Lớp 12'!S474</f>
        <v>298</v>
      </c>
      <c r="I78" s="141">
        <f t="shared" si="5"/>
        <v>298.79</v>
      </c>
      <c r="J78" s="142">
        <f t="shared" si="6"/>
        <v>11</v>
      </c>
    </row>
    <row r="79">
      <c r="A79" s="143" t="s">
        <v>488</v>
      </c>
      <c r="B79" s="140">
        <f>'Lớp 12'!S269</f>
        <v>300</v>
      </c>
      <c r="C79" s="140">
        <f>'Lớp 12'!S301</f>
        <v>300</v>
      </c>
      <c r="D79" s="140">
        <f>'Lớp 12'!S336</f>
        <v>302</v>
      </c>
      <c r="E79" s="140">
        <f>'Lớp 12'!S368</f>
        <v>303</v>
      </c>
      <c r="F79" s="140">
        <f>'Lớp 12'!S403</f>
        <v>298</v>
      </c>
      <c r="G79" s="140">
        <f>'Lớp 12'!S440</f>
        <v>298.5</v>
      </c>
      <c r="H79" s="140">
        <f>'Lớp 12'!S475</f>
        <v>302.5</v>
      </c>
      <c r="I79" s="141">
        <f t="shared" si="5"/>
        <v>300.57</v>
      </c>
      <c r="J79" s="142">
        <f t="shared" si="6"/>
        <v>1</v>
      </c>
    </row>
    <row r="80">
      <c r="A80" s="144" t="s">
        <v>489</v>
      </c>
      <c r="B80" s="140">
        <f>'Lớp 12'!S270</f>
        <v>300</v>
      </c>
      <c r="C80" s="140">
        <f>'Lớp 12'!S302</f>
        <v>298.5</v>
      </c>
      <c r="D80" s="140">
        <f>'Lớp 12'!S337</f>
        <v>300.5</v>
      </c>
      <c r="E80" s="140">
        <f>'Lớp 12'!S369</f>
        <v>301</v>
      </c>
      <c r="F80" s="140">
        <f>'Lớp 12'!S404</f>
        <v>298</v>
      </c>
      <c r="G80" s="140">
        <f>'Lớp 12'!S441</f>
        <v>301.5</v>
      </c>
      <c r="H80" s="140">
        <f>'Lớp 12'!S476</f>
        <v>301.5</v>
      </c>
      <c r="I80" s="141">
        <f t="shared" si="5"/>
        <v>300.14</v>
      </c>
      <c r="J80" s="142">
        <f t="shared" si="6"/>
        <v>3</v>
      </c>
    </row>
    <row r="81">
      <c r="A81" s="129"/>
      <c r="B81" s="129"/>
      <c r="C81" s="129"/>
      <c r="D81" s="129"/>
      <c r="E81" s="129"/>
      <c r="F81" s="129"/>
      <c r="G81" s="129"/>
      <c r="H81" s="129"/>
      <c r="I81" s="129"/>
      <c r="J81" s="129"/>
    </row>
    <row r="82">
      <c r="A82" s="129"/>
      <c r="B82" s="129"/>
      <c r="C82" s="129"/>
      <c r="D82" s="129"/>
      <c r="E82" s="136" t="s">
        <v>681</v>
      </c>
    </row>
    <row r="83">
      <c r="A83" s="128" t="s">
        <v>682</v>
      </c>
      <c r="D83" s="129"/>
      <c r="E83" s="128" t="s">
        <v>683</v>
      </c>
    </row>
    <row r="84">
      <c r="A84" s="128" t="s">
        <v>684</v>
      </c>
      <c r="D84" s="129"/>
      <c r="E84" s="128" t="s">
        <v>685</v>
      </c>
    </row>
    <row r="85">
      <c r="A85" s="129"/>
      <c r="B85" s="129"/>
      <c r="C85" s="129"/>
      <c r="D85" s="129"/>
      <c r="E85" s="129"/>
      <c r="F85" s="129"/>
      <c r="G85" s="129"/>
      <c r="H85" s="129"/>
      <c r="I85" s="129"/>
      <c r="J85" s="129"/>
    </row>
    <row r="86">
      <c r="A86" s="129"/>
      <c r="B86" s="129"/>
      <c r="C86" s="129"/>
      <c r="D86" s="129"/>
      <c r="E86" s="129"/>
      <c r="F86" s="129"/>
      <c r="G86" s="129"/>
      <c r="H86" s="129"/>
      <c r="I86" s="129"/>
      <c r="J86" s="129"/>
    </row>
    <row r="87">
      <c r="A87" s="129"/>
      <c r="B87" s="129"/>
      <c r="C87" s="129"/>
      <c r="D87" s="129"/>
      <c r="E87" s="129"/>
      <c r="F87" s="129"/>
      <c r="G87" s="129"/>
      <c r="H87" s="129"/>
      <c r="I87" s="129"/>
      <c r="J87" s="129"/>
    </row>
    <row r="88">
      <c r="A88" s="128" t="s">
        <v>686</v>
      </c>
      <c r="D88" s="129"/>
      <c r="E88" s="128" t="s">
        <v>687</v>
      </c>
    </row>
  </sheetData>
  <mergeCells count="30">
    <mergeCell ref="A1:D1"/>
    <mergeCell ref="A2:D2"/>
    <mergeCell ref="A4:J4"/>
    <mergeCell ref="E21:J21"/>
    <mergeCell ref="A22:C22"/>
    <mergeCell ref="E22:J22"/>
    <mergeCell ref="E23:J23"/>
    <mergeCell ref="A54:C54"/>
    <mergeCell ref="E54:J54"/>
    <mergeCell ref="A58:C58"/>
    <mergeCell ref="E58:J58"/>
    <mergeCell ref="A61:D61"/>
    <mergeCell ref="A62:D62"/>
    <mergeCell ref="A64:J64"/>
    <mergeCell ref="A23:C23"/>
    <mergeCell ref="A27:C27"/>
    <mergeCell ref="E27:J27"/>
    <mergeCell ref="A30:D30"/>
    <mergeCell ref="A31:D31"/>
    <mergeCell ref="A33:J33"/>
    <mergeCell ref="A53:C53"/>
    <mergeCell ref="A88:C88"/>
    <mergeCell ref="E88:J88"/>
    <mergeCell ref="E52:J52"/>
    <mergeCell ref="E53:J53"/>
    <mergeCell ref="E82:J82"/>
    <mergeCell ref="A83:C83"/>
    <mergeCell ref="E83:J83"/>
    <mergeCell ref="A84:C84"/>
    <mergeCell ref="E84:J8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5.25"/>
  </cols>
  <sheetData>
    <row r="1">
      <c r="A1" s="126" t="s">
        <v>668</v>
      </c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</row>
    <row r="2">
      <c r="A2" s="128" t="s">
        <v>669</v>
      </c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4">
      <c r="A4" s="128" t="s">
        <v>702</v>
      </c>
    </row>
    <row r="5">
      <c r="A5" s="129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</row>
    <row r="6">
      <c r="A6" s="129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</row>
    <row r="7">
      <c r="A7" s="137" t="s">
        <v>671</v>
      </c>
      <c r="B7" s="138" t="s">
        <v>672</v>
      </c>
      <c r="C7" s="138" t="s">
        <v>673</v>
      </c>
      <c r="D7" s="138" t="s">
        <v>674</v>
      </c>
      <c r="E7" s="138" t="s">
        <v>675</v>
      </c>
      <c r="F7" s="138" t="s">
        <v>676</v>
      </c>
      <c r="G7" s="138" t="s">
        <v>677</v>
      </c>
      <c r="H7" s="138" t="s">
        <v>678</v>
      </c>
      <c r="I7" s="138" t="s">
        <v>693</v>
      </c>
      <c r="J7" s="138" t="s">
        <v>694</v>
      </c>
      <c r="K7" s="138" t="s">
        <v>695</v>
      </c>
      <c r="L7" s="138" t="s">
        <v>696</v>
      </c>
      <c r="M7" s="138" t="s">
        <v>697</v>
      </c>
      <c r="N7" s="138" t="s">
        <v>698</v>
      </c>
      <c r="O7" s="138" t="s">
        <v>699</v>
      </c>
      <c r="P7" s="138" t="s">
        <v>679</v>
      </c>
      <c r="Q7" s="138" t="s">
        <v>680</v>
      </c>
    </row>
    <row r="8">
      <c r="A8" s="139">
        <v>45667.0</v>
      </c>
      <c r="B8" s="140">
        <f>'Lớp 10'!S8</f>
        <v>299.5</v>
      </c>
      <c r="C8" s="140">
        <f>'Lớp 10'!S40</f>
        <v>301.5</v>
      </c>
      <c r="D8" s="140">
        <f>'Lớp 10'!S74</f>
        <v>297.5</v>
      </c>
      <c r="E8" s="140">
        <f>'Lớp 10'!S106</f>
        <v>297</v>
      </c>
      <c r="F8" s="140">
        <f>'Lớp 10'!S140</f>
        <v>301</v>
      </c>
      <c r="G8" s="140">
        <f>'Lớp 10'!S167</f>
        <v>297</v>
      </c>
      <c r="H8" s="140">
        <f>'Lớp 10'!S200</f>
        <v>300</v>
      </c>
      <c r="I8" s="141">
        <f>'Lớp 10'!S231</f>
        <v>296</v>
      </c>
      <c r="J8" s="141">
        <f>'Lớp 10'!S265</f>
        <v>297</v>
      </c>
      <c r="K8" s="141">
        <f>'Lớp 10'!S297</f>
        <v>298.5</v>
      </c>
      <c r="L8" s="141">
        <f>'Lớp 10'!S330</f>
        <v>301.5</v>
      </c>
      <c r="M8" s="141">
        <f>'Lớp 10'!S367</f>
        <v>298.5</v>
      </c>
      <c r="N8" s="141">
        <f>'Lớp 10'!S400</f>
        <v>299.5</v>
      </c>
      <c r="O8" s="141">
        <f>'Lớp 10'!S432</f>
        <v>299</v>
      </c>
      <c r="P8" s="141">
        <f t="shared" ref="P8:P19" si="1">ROUND(AVERAGE(B8:O8),2)</f>
        <v>298.82</v>
      </c>
      <c r="Q8" s="142">
        <f t="shared" ref="Q8:Q19" si="2">RANK(P8,$P$8:$P$19,0)</f>
        <v>8</v>
      </c>
    </row>
    <row r="9">
      <c r="A9" s="132">
        <v>45698.0</v>
      </c>
      <c r="B9" s="133">
        <f>'Lớp 10'!S9</f>
        <v>299</v>
      </c>
      <c r="C9" s="133">
        <f>'Lớp 10'!S41</f>
        <v>302</v>
      </c>
      <c r="D9" s="133">
        <f>'Lớp 10'!S75</f>
        <v>300</v>
      </c>
      <c r="E9" s="133">
        <f>'Lớp 10'!S107</f>
        <v>301</v>
      </c>
      <c r="F9" s="133">
        <f>'Lớp 10'!S141</f>
        <v>301</v>
      </c>
      <c r="G9" s="133">
        <f>'Lớp 10'!S168</f>
        <v>298.5</v>
      </c>
      <c r="H9" s="133">
        <f>'Lớp 10'!S201</f>
        <v>299</v>
      </c>
      <c r="I9" s="134">
        <f>'Lớp 10'!S232</f>
        <v>299</v>
      </c>
      <c r="J9" s="134">
        <f>'Lớp 10'!S266</f>
        <v>297.5</v>
      </c>
      <c r="K9" s="134">
        <f>'Lớp 10'!S298</f>
        <v>299.5</v>
      </c>
      <c r="L9" s="134">
        <f>'Lớp 10'!S331</f>
        <v>303</v>
      </c>
      <c r="M9" s="134">
        <f>'Lớp 10'!S368</f>
        <v>300.5</v>
      </c>
      <c r="N9" s="134">
        <f>'Lớp 10'!S401</f>
        <v>300.5</v>
      </c>
      <c r="O9" s="134">
        <f>'Lớp 10'!S433</f>
        <v>299</v>
      </c>
      <c r="P9" s="134">
        <f t="shared" si="1"/>
        <v>299.96</v>
      </c>
      <c r="Q9" s="135">
        <f t="shared" si="2"/>
        <v>4</v>
      </c>
    </row>
    <row r="10">
      <c r="A10" s="132">
        <v>45726.0</v>
      </c>
      <c r="B10" s="133">
        <f>'Lớp 10'!S10</f>
        <v>299.5</v>
      </c>
      <c r="C10" s="133">
        <f>'Lớp 10'!S42</f>
        <v>300.5</v>
      </c>
      <c r="D10" s="133">
        <f>'Lớp 10'!S76</f>
        <v>298</v>
      </c>
      <c r="E10" s="133">
        <f>'Lớp 10'!S108</f>
        <v>296</v>
      </c>
      <c r="F10" s="133">
        <f>'Lớp 10'!S142</f>
        <v>299</v>
      </c>
      <c r="G10" s="133">
        <f>'Lớp 10'!S169</f>
        <v>297</v>
      </c>
      <c r="H10" s="133">
        <f>'Lớp 10'!S202</f>
        <v>300</v>
      </c>
      <c r="I10" s="134">
        <f>'Lớp 10'!S233</f>
        <v>299</v>
      </c>
      <c r="J10" s="134">
        <f>'Lớp 10'!S267</f>
        <v>294.5</v>
      </c>
      <c r="K10" s="134">
        <f>'Lớp 10'!S299</f>
        <v>300</v>
      </c>
      <c r="L10" s="134">
        <f>'Lớp 10'!S332</f>
        <v>302.5</v>
      </c>
      <c r="M10" s="134">
        <f>'Lớp 10'!S369</f>
        <v>301</v>
      </c>
      <c r="N10" s="134">
        <f>'Lớp 10'!S402</f>
        <v>300</v>
      </c>
      <c r="O10" s="134">
        <f>'Lớp 10'!S434</f>
        <v>299.5</v>
      </c>
      <c r="P10" s="134">
        <f t="shared" si="1"/>
        <v>299.04</v>
      </c>
      <c r="Q10" s="135">
        <f t="shared" si="2"/>
        <v>7</v>
      </c>
    </row>
    <row r="11">
      <c r="A11" s="132">
        <v>45757.0</v>
      </c>
      <c r="B11" s="133">
        <f>'Lớp 10'!S11</f>
        <v>297.5</v>
      </c>
      <c r="C11" s="133">
        <f>'Lớp 10'!S43</f>
        <v>301.5</v>
      </c>
      <c r="D11" s="133">
        <f>'Lớp 10'!S77</f>
        <v>299.5</v>
      </c>
      <c r="E11" s="133">
        <f>'Lớp 10'!S109</f>
        <v>299.5</v>
      </c>
      <c r="F11" s="133">
        <f>'Lớp 10'!S143</f>
        <v>299.5</v>
      </c>
      <c r="G11" s="133">
        <f>'Lớp 10'!S170</f>
        <v>298.5</v>
      </c>
      <c r="H11" s="133">
        <f>'Lớp 10'!S203</f>
        <v>299.5</v>
      </c>
      <c r="I11" s="134">
        <f>'Lớp 10'!S234</f>
        <v>299.5</v>
      </c>
      <c r="J11" s="134">
        <f>'Lớp 10'!S268</f>
        <v>300</v>
      </c>
      <c r="K11" s="134">
        <f>'Lớp 10'!S300</f>
        <v>297.5</v>
      </c>
      <c r="L11" s="134">
        <f>'Lớp 10'!S333</f>
        <v>299.5</v>
      </c>
      <c r="M11" s="134">
        <f>'Lớp 10'!S370</f>
        <v>299</v>
      </c>
      <c r="N11" s="134">
        <f>'Lớp 10'!S403</f>
        <v>300.5</v>
      </c>
      <c r="O11" s="134">
        <f>'Lớp 10'!S435</f>
        <v>299.5</v>
      </c>
      <c r="P11" s="134">
        <f t="shared" si="1"/>
        <v>299.36</v>
      </c>
      <c r="Q11" s="135">
        <f t="shared" si="2"/>
        <v>5</v>
      </c>
    </row>
    <row r="12">
      <c r="A12" s="132">
        <v>45787.0</v>
      </c>
      <c r="B12" s="133">
        <f>'Lớp 10'!S12</f>
        <v>300</v>
      </c>
      <c r="C12" s="133">
        <f>'Lớp 10'!S44</f>
        <v>300.5</v>
      </c>
      <c r="D12" s="133">
        <f>'Lớp 10'!S78</f>
        <v>297.5</v>
      </c>
      <c r="E12" s="133">
        <f>'Lớp 10'!S110</f>
        <v>296.5</v>
      </c>
      <c r="F12" s="133">
        <f>'Lớp 10'!S144</f>
        <v>299.5</v>
      </c>
      <c r="G12" s="133">
        <f>'Lớp 10'!S171</f>
        <v>299.5</v>
      </c>
      <c r="H12" s="133">
        <f>'Lớp 10'!S204</f>
        <v>299</v>
      </c>
      <c r="I12" s="134">
        <f>'Lớp 10'!S235</f>
        <v>298</v>
      </c>
      <c r="J12" s="134">
        <f>'Lớp 10'!S269</f>
        <v>298.5</v>
      </c>
      <c r="K12" s="134">
        <f>'Lớp 10'!S301</f>
        <v>298.5</v>
      </c>
      <c r="L12" s="134">
        <f>'Lớp 10'!S334</f>
        <v>299.5</v>
      </c>
      <c r="M12" s="134">
        <f>'Lớp 10'!S371</f>
        <v>295</v>
      </c>
      <c r="N12" s="134">
        <f>'Lớp 10'!S404</f>
        <v>298.5</v>
      </c>
      <c r="O12" s="134">
        <f>'Lớp 10'!S436</f>
        <v>298.5</v>
      </c>
      <c r="P12" s="134">
        <f t="shared" si="1"/>
        <v>298.5</v>
      </c>
      <c r="Q12" s="135">
        <f t="shared" si="2"/>
        <v>11</v>
      </c>
    </row>
    <row r="13">
      <c r="A13" s="132">
        <v>45818.0</v>
      </c>
      <c r="B13" s="133">
        <f>'Lớp 10'!S13</f>
        <v>299.5</v>
      </c>
      <c r="C13" s="133">
        <f>'Lớp 10'!S45</f>
        <v>298</v>
      </c>
      <c r="D13" s="133">
        <f>'Lớp 10'!S79</f>
        <v>299.5</v>
      </c>
      <c r="E13" s="133">
        <f>'Lớp 10'!S111</f>
        <v>299</v>
      </c>
      <c r="F13" s="133">
        <f>'Lớp 10'!S145</f>
        <v>300.5</v>
      </c>
      <c r="G13" s="133">
        <f>'Lớp 10'!S172</f>
        <v>298</v>
      </c>
      <c r="H13" s="133">
        <f>'Lớp 10'!S205</f>
        <v>297</v>
      </c>
      <c r="I13" s="134">
        <f>'Lớp 10'!S236</f>
        <v>296</v>
      </c>
      <c r="J13" s="134">
        <f>'Lớp 10'!S270</f>
        <v>297</v>
      </c>
      <c r="K13" s="134">
        <f>'Lớp 10'!S302</f>
        <v>302</v>
      </c>
      <c r="L13" s="134">
        <f>'Lớp 10'!S335</f>
        <v>300.5</v>
      </c>
      <c r="M13" s="134">
        <f>'Lớp 10'!S372</f>
        <v>300</v>
      </c>
      <c r="N13" s="134">
        <f>'Lớp 10'!S405</f>
        <v>296</v>
      </c>
      <c r="O13" s="134">
        <f>'Lớp 10'!S437</f>
        <v>298.5</v>
      </c>
      <c r="P13" s="134">
        <f t="shared" si="1"/>
        <v>298.68</v>
      </c>
      <c r="Q13" s="135">
        <f t="shared" si="2"/>
        <v>10</v>
      </c>
    </row>
    <row r="14">
      <c r="A14" s="132">
        <v>45848.0</v>
      </c>
      <c r="B14" s="133">
        <f>'Lớp 10'!S14</f>
        <v>300</v>
      </c>
      <c r="C14" s="133">
        <f>'Lớp 10'!S46</f>
        <v>301</v>
      </c>
      <c r="D14" s="133">
        <f>'Lớp 10'!S80</f>
        <v>299</v>
      </c>
      <c r="E14" s="133">
        <f>'Lớp 10'!S112</f>
        <v>301</v>
      </c>
      <c r="F14" s="133">
        <f>'Lớp 10'!S146</f>
        <v>299</v>
      </c>
      <c r="G14" s="133">
        <f>'Lớp 10'!S173</f>
        <v>299.5</v>
      </c>
      <c r="H14" s="133">
        <f>'Lớp 10'!S206</f>
        <v>300</v>
      </c>
      <c r="I14" s="134">
        <f>'Lớp 10'!S237</f>
        <v>300</v>
      </c>
      <c r="J14" s="134">
        <f>'Lớp 10'!S271</f>
        <v>300</v>
      </c>
      <c r="K14" s="134">
        <f>'Lớp 10'!S303</f>
        <v>300</v>
      </c>
      <c r="L14" s="134">
        <f>'Lớp 10'!S336</f>
        <v>301.5</v>
      </c>
      <c r="M14" s="134">
        <f>'Lớp 10'!S373</f>
        <v>300</v>
      </c>
      <c r="N14" s="134">
        <f>'Lớp 10'!S406</f>
        <v>300</v>
      </c>
      <c r="O14" s="134">
        <f>'Lớp 10'!S438</f>
        <v>300.5</v>
      </c>
      <c r="P14" s="134">
        <f t="shared" si="1"/>
        <v>300.11</v>
      </c>
      <c r="Q14" s="135">
        <f t="shared" si="2"/>
        <v>2</v>
      </c>
    </row>
    <row r="15">
      <c r="A15" s="132">
        <v>45879.0</v>
      </c>
      <c r="B15" s="133">
        <f>'Lớp 10'!S15</f>
        <v>300</v>
      </c>
      <c r="C15" s="133">
        <f>'Lớp 10'!S47</f>
        <v>302.5</v>
      </c>
      <c r="D15" s="133">
        <f>'Lớp 10'!S81</f>
        <v>299.5</v>
      </c>
      <c r="E15" s="133">
        <f>'Lớp 10'!S113</f>
        <v>296</v>
      </c>
      <c r="F15" s="133">
        <f>'Lớp 10'!S147</f>
        <v>301</v>
      </c>
      <c r="G15" s="133">
        <f>'Lớp 10'!S174</f>
        <v>300</v>
      </c>
      <c r="H15" s="133">
        <f>'Lớp 10'!S207</f>
        <v>300</v>
      </c>
      <c r="I15" s="134">
        <f>'Lớp 10'!S238</f>
        <v>297.5</v>
      </c>
      <c r="J15" s="134">
        <f>'Lớp 10'!S272</f>
        <v>300</v>
      </c>
      <c r="K15" s="134">
        <f>'Lớp 10'!S304</f>
        <v>302</v>
      </c>
      <c r="L15" s="134">
        <f>'Lớp 10'!S337</f>
        <v>304</v>
      </c>
      <c r="M15" s="134">
        <f>'Lớp 10'!S374</f>
        <v>299.5</v>
      </c>
      <c r="N15" s="134">
        <f>'Lớp 10'!S407</f>
        <v>301</v>
      </c>
      <c r="O15" s="134">
        <f>'Lớp 10'!S439</f>
        <v>303</v>
      </c>
      <c r="P15" s="134">
        <f t="shared" si="1"/>
        <v>300.43</v>
      </c>
      <c r="Q15" s="135">
        <f t="shared" si="2"/>
        <v>1</v>
      </c>
    </row>
    <row r="16">
      <c r="A16" s="132">
        <v>45910.0</v>
      </c>
      <c r="B16" s="133">
        <f>'Lớp 10'!S16</f>
        <v>300</v>
      </c>
      <c r="C16" s="133">
        <f>'Lớp 10'!S48</f>
        <v>298.5</v>
      </c>
      <c r="D16" s="133">
        <f>'Lớp 10'!S82</f>
        <v>296</v>
      </c>
      <c r="E16" s="133">
        <f>'Lớp 10'!S114</f>
        <v>300</v>
      </c>
      <c r="F16" s="133">
        <f>'Lớp 10'!S148</f>
        <v>300.5</v>
      </c>
      <c r="G16" s="133">
        <f>'Lớp 10'!S175</f>
        <v>298</v>
      </c>
      <c r="H16" s="133">
        <f>'Lớp 10'!S208</f>
        <v>300</v>
      </c>
      <c r="I16" s="134">
        <f>'Lớp 10'!S239</f>
        <v>298</v>
      </c>
      <c r="J16" s="134">
        <f>'Lớp 10'!S273</f>
        <v>298</v>
      </c>
      <c r="K16" s="134">
        <f>'Lớp 10'!S305</f>
        <v>296</v>
      </c>
      <c r="L16" s="134">
        <f>'Lớp 10'!S338</f>
        <v>299.5</v>
      </c>
      <c r="M16" s="134">
        <f>'Lớp 10'!S375</f>
        <v>299</v>
      </c>
      <c r="N16" s="134">
        <f>'Lớp 10'!S408</f>
        <v>298.5</v>
      </c>
      <c r="O16" s="134">
        <f>'Lớp 10'!S440</f>
        <v>301.5</v>
      </c>
      <c r="P16" s="134">
        <f t="shared" si="1"/>
        <v>298.82</v>
      </c>
      <c r="Q16" s="135">
        <f t="shared" si="2"/>
        <v>8</v>
      </c>
    </row>
    <row r="17">
      <c r="A17" s="132">
        <v>45940.0</v>
      </c>
      <c r="B17" s="133">
        <f>'Lớp 10'!S17</f>
        <v>299.5</v>
      </c>
      <c r="C17" s="133">
        <f>'Lớp 10'!S49</f>
        <v>302</v>
      </c>
      <c r="D17" s="133">
        <f>'Lớp 10'!S83</f>
        <v>299.5</v>
      </c>
      <c r="E17" s="133">
        <f>'Lớp 10'!S115</f>
        <v>302.5</v>
      </c>
      <c r="F17" s="133">
        <f>'Lớp 10'!S149</f>
        <v>298.5</v>
      </c>
      <c r="G17" s="133">
        <f>'Lớp 10'!S176</f>
        <v>299</v>
      </c>
      <c r="H17" s="133">
        <f>'Lớp 10'!S209</f>
        <v>299</v>
      </c>
      <c r="I17" s="134">
        <f>'Lớp 10'!S240</f>
        <v>298</v>
      </c>
      <c r="J17" s="134">
        <f>'Lớp 10'!S274</f>
        <v>294</v>
      </c>
      <c r="K17" s="134">
        <f>'Lớp 10'!S306</f>
        <v>294</v>
      </c>
      <c r="L17" s="134">
        <f>'Lớp 10'!S339</f>
        <v>302.5</v>
      </c>
      <c r="M17" s="134">
        <f>'Lớp 10'!S376</f>
        <v>299.5</v>
      </c>
      <c r="N17" s="134">
        <f>'Lớp 10'!S409</f>
        <v>299</v>
      </c>
      <c r="O17" s="134">
        <f>'Lớp 10'!S441</f>
        <v>301</v>
      </c>
      <c r="P17" s="134">
        <f t="shared" si="1"/>
        <v>299.14</v>
      </c>
      <c r="Q17" s="135">
        <f t="shared" si="2"/>
        <v>6</v>
      </c>
    </row>
    <row r="18">
      <c r="A18" s="132">
        <v>45971.0</v>
      </c>
      <c r="B18" s="133">
        <f>'Lớp 10'!S18</f>
        <v>299</v>
      </c>
      <c r="C18" s="133">
        <f>'Lớp 10'!S50</f>
        <v>298</v>
      </c>
      <c r="D18" s="133">
        <f>'Lớp 10'!S84</f>
        <v>297.5</v>
      </c>
      <c r="E18" s="133">
        <f>'Lớp 10'!S116</f>
        <v>299</v>
      </c>
      <c r="F18" s="133">
        <f>'Lớp 10'!S150</f>
        <v>300</v>
      </c>
      <c r="G18" s="133">
        <f>'Lớp 10'!S177</f>
        <v>299.5</v>
      </c>
      <c r="H18" s="133">
        <f>'Lớp 10'!S210</f>
        <v>299.5</v>
      </c>
      <c r="I18" s="134">
        <f>'Lớp 10'!S241</f>
        <v>296</v>
      </c>
      <c r="J18" s="134">
        <f>'Lớp 10'!S275</f>
        <v>297.5</v>
      </c>
      <c r="K18" s="134">
        <f>'Lớp 10'!S307</f>
        <v>295</v>
      </c>
      <c r="L18" s="134">
        <f>'Lớp 10'!S340</f>
        <v>294.5</v>
      </c>
      <c r="M18" s="134">
        <f>'Lớp 10'!S377</f>
        <v>298.5</v>
      </c>
      <c r="N18" s="134">
        <f>'Lớp 10'!S410</f>
        <v>291</v>
      </c>
      <c r="O18" s="134">
        <f>'Lớp 10'!S442</f>
        <v>298.5</v>
      </c>
      <c r="P18" s="134">
        <f t="shared" si="1"/>
        <v>297.39</v>
      </c>
      <c r="Q18" s="135">
        <f t="shared" si="2"/>
        <v>12</v>
      </c>
    </row>
    <row r="19">
      <c r="A19" s="132">
        <v>46001.0</v>
      </c>
      <c r="B19" s="146">
        <f>'Lớp 10'!S19</f>
        <v>300.5</v>
      </c>
      <c r="C19" s="146">
        <f>'Lớp 10'!S51</f>
        <v>300</v>
      </c>
      <c r="D19" s="146">
        <f>'Lớp 10'!S85</f>
        <v>298.5</v>
      </c>
      <c r="E19" s="146">
        <f>'Lớp 10'!S117</f>
        <v>298.5</v>
      </c>
      <c r="F19" s="146">
        <f>'Lớp 10'!S151</f>
        <v>301</v>
      </c>
      <c r="G19" s="146">
        <f>'Lớp 10'!S178</f>
        <v>299.5</v>
      </c>
      <c r="H19" s="146">
        <f>'Lớp 10'!S211</f>
        <v>300</v>
      </c>
      <c r="I19" s="147">
        <f>'Lớp 10'!S242</f>
        <v>296.5</v>
      </c>
      <c r="J19" s="147">
        <f>'Lớp 10'!S276</f>
        <v>300</v>
      </c>
      <c r="K19" s="147">
        <f>'Lớp 10'!S308</f>
        <v>301.5</v>
      </c>
      <c r="L19" s="147">
        <f>'Lớp 10'!S341</f>
        <v>302</v>
      </c>
      <c r="M19" s="147">
        <f>'Lớp 10'!S378</f>
        <v>300</v>
      </c>
      <c r="N19" s="147">
        <f>'Lớp 10'!S411</f>
        <v>301</v>
      </c>
      <c r="O19" s="147">
        <f>'Lớp 10'!S443</f>
        <v>302.5</v>
      </c>
      <c r="P19" s="147">
        <f t="shared" si="1"/>
        <v>300.11</v>
      </c>
      <c r="Q19" s="148">
        <f t="shared" si="2"/>
        <v>2</v>
      </c>
    </row>
    <row r="20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</row>
    <row r="21">
      <c r="A21" s="129"/>
      <c r="B21" s="149" t="s">
        <v>703</v>
      </c>
      <c r="C21" s="11"/>
      <c r="D21" s="149" t="s">
        <v>704</v>
      </c>
      <c r="E21" s="10"/>
      <c r="F21" s="10"/>
      <c r="G21" s="11"/>
      <c r="H21" s="138" t="s">
        <v>705</v>
      </c>
      <c r="I21" s="136"/>
      <c r="J21" s="136"/>
      <c r="K21" s="136"/>
      <c r="L21" s="136"/>
      <c r="M21" s="136"/>
      <c r="N21" s="136"/>
      <c r="O21" s="136"/>
      <c r="P21" s="136"/>
      <c r="Q21" s="136"/>
    </row>
    <row r="22" ht="45.0" customHeight="1">
      <c r="A22" s="129"/>
      <c r="B22" s="149" t="s">
        <v>706</v>
      </c>
      <c r="C22" s="11"/>
      <c r="D22" s="150" t="s">
        <v>707</v>
      </c>
      <c r="E22" s="10"/>
      <c r="F22" s="10"/>
      <c r="G22" s="11"/>
      <c r="H22" s="151" t="s">
        <v>708</v>
      </c>
      <c r="I22" s="136"/>
      <c r="J22" s="136"/>
      <c r="K22" s="136"/>
      <c r="L22" s="136"/>
      <c r="M22" s="136"/>
      <c r="N22" s="136"/>
      <c r="O22" s="136"/>
      <c r="P22" s="136"/>
      <c r="Q22" s="136"/>
    </row>
    <row r="23">
      <c r="A23" s="129"/>
      <c r="B23" s="149" t="s">
        <v>709</v>
      </c>
      <c r="C23" s="11"/>
      <c r="D23" s="150" t="s">
        <v>710</v>
      </c>
      <c r="E23" s="10"/>
      <c r="F23" s="10"/>
      <c r="G23" s="11"/>
      <c r="H23" s="151" t="s">
        <v>711</v>
      </c>
      <c r="I23" s="136"/>
      <c r="J23" s="136"/>
      <c r="K23" s="136"/>
      <c r="L23" s="136"/>
      <c r="M23" s="136"/>
      <c r="N23" s="136"/>
      <c r="O23" s="136"/>
      <c r="P23" s="136"/>
      <c r="Q23" s="136"/>
    </row>
    <row r="24">
      <c r="A24" s="129"/>
      <c r="B24" s="129"/>
      <c r="C24" s="129"/>
      <c r="D24" s="129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</row>
    <row r="25">
      <c r="A25" s="129"/>
      <c r="B25" s="129"/>
      <c r="C25" s="129"/>
      <c r="D25" s="129"/>
      <c r="E25" s="136"/>
      <c r="F25" s="136"/>
      <c r="G25" s="136"/>
      <c r="H25" s="136"/>
      <c r="I25" s="136"/>
      <c r="J25" s="136"/>
      <c r="K25" s="136"/>
      <c r="L25" s="136"/>
      <c r="M25" s="136"/>
      <c r="N25" s="136" t="s">
        <v>712</v>
      </c>
      <c r="O25" s="136"/>
      <c r="P25" s="136"/>
      <c r="Q25" s="136"/>
    </row>
    <row r="26">
      <c r="D26" s="129"/>
      <c r="E26" s="128" t="s">
        <v>682</v>
      </c>
      <c r="H26" s="128"/>
      <c r="I26" s="128"/>
      <c r="J26" s="128"/>
      <c r="K26" s="128"/>
      <c r="L26" s="128"/>
      <c r="M26" s="128"/>
      <c r="N26" s="128" t="s">
        <v>683</v>
      </c>
      <c r="O26" s="128"/>
      <c r="P26" s="128"/>
      <c r="Q26" s="128"/>
    </row>
    <row r="27">
      <c r="D27" s="129"/>
      <c r="E27" s="128" t="s">
        <v>684</v>
      </c>
      <c r="H27" s="128"/>
      <c r="I27" s="128"/>
      <c r="J27" s="128"/>
      <c r="K27" s="128"/>
      <c r="L27" s="128"/>
      <c r="M27" s="128"/>
      <c r="N27" s="128" t="s">
        <v>685</v>
      </c>
      <c r="O27" s="128"/>
      <c r="P27" s="128"/>
      <c r="Q27" s="128"/>
    </row>
    <row r="28"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</row>
    <row r="29"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</row>
    <row r="30"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</row>
    <row r="31"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</row>
    <row r="32"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</row>
    <row r="33">
      <c r="D33" s="129"/>
      <c r="E33" s="128" t="s">
        <v>686</v>
      </c>
      <c r="H33" s="128"/>
      <c r="I33" s="128"/>
      <c r="J33" s="128"/>
      <c r="K33" s="128"/>
      <c r="L33" s="128"/>
      <c r="M33" s="128"/>
      <c r="N33" s="128" t="s">
        <v>687</v>
      </c>
      <c r="O33" s="128"/>
      <c r="P33" s="128"/>
      <c r="Q33" s="128"/>
    </row>
    <row r="34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</row>
    <row r="35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</row>
    <row r="36">
      <c r="A36" s="126" t="s">
        <v>668</v>
      </c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</row>
    <row r="37">
      <c r="A37" s="128" t="s">
        <v>669</v>
      </c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>
      <c r="A39" s="128" t="s">
        <v>713</v>
      </c>
    </row>
    <row r="40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</row>
    <row r="41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</row>
    <row r="42">
      <c r="A42" s="137" t="s">
        <v>689</v>
      </c>
      <c r="B42" s="138" t="s">
        <v>672</v>
      </c>
      <c r="C42" s="138" t="s">
        <v>673</v>
      </c>
      <c r="D42" s="138" t="s">
        <v>674</v>
      </c>
      <c r="E42" s="138" t="s">
        <v>675</v>
      </c>
      <c r="F42" s="138" t="s">
        <v>676</v>
      </c>
      <c r="G42" s="138" t="s">
        <v>677</v>
      </c>
      <c r="H42" s="138" t="s">
        <v>678</v>
      </c>
      <c r="I42" s="138" t="s">
        <v>693</v>
      </c>
      <c r="J42" s="138" t="s">
        <v>694</v>
      </c>
      <c r="K42" s="138" t="s">
        <v>695</v>
      </c>
      <c r="L42" s="138" t="s">
        <v>696</v>
      </c>
      <c r="M42" s="138" t="s">
        <v>697</v>
      </c>
      <c r="N42" s="138" t="s">
        <v>698</v>
      </c>
      <c r="O42" s="138" t="s">
        <v>699</v>
      </c>
      <c r="P42" s="138" t="s">
        <v>679</v>
      </c>
      <c r="Q42" s="138" t="s">
        <v>680</v>
      </c>
    </row>
    <row r="43">
      <c r="A43" s="139">
        <v>45668.0</v>
      </c>
      <c r="B43" s="140">
        <f>'Lớp 11'!S8</f>
        <v>300.5</v>
      </c>
      <c r="C43" s="140">
        <f>'Lớp 11'!S48</f>
        <v>300.5</v>
      </c>
      <c r="D43" s="140">
        <f>'Lớp 11'!S86</f>
        <v>298</v>
      </c>
      <c r="E43" s="140">
        <f>'Lớp 11'!S124</f>
        <v>302</v>
      </c>
      <c r="F43" s="140">
        <f>'Lớp 11'!S161</f>
        <v>301</v>
      </c>
      <c r="G43" s="140">
        <f>'Lớp 11'!S197</f>
        <v>300.5</v>
      </c>
      <c r="H43" s="140">
        <f>'Lớp 11'!S233</f>
        <v>301.5</v>
      </c>
      <c r="I43" s="140">
        <f>'Lớp 11'!S267</f>
        <v>300</v>
      </c>
      <c r="J43" s="140">
        <f>'Lớp 11'!S300</f>
        <v>299</v>
      </c>
      <c r="K43" s="140">
        <f>'Lớp 11'!S333</f>
        <v>300</v>
      </c>
      <c r="L43" s="140">
        <f>'Lớp 11'!S370</f>
        <v>303.5</v>
      </c>
      <c r="M43" s="140">
        <f>'Lớp 11'!S416</f>
        <v>301</v>
      </c>
      <c r="N43" s="140">
        <f>'Lớp 11'!S454</f>
        <v>301</v>
      </c>
      <c r="O43" s="140">
        <f>'Lớp 11'!S489</f>
        <v>301.5</v>
      </c>
      <c r="P43" s="141">
        <f t="shared" ref="P43:P56" si="3">ROUND(AVERAGE(B43:O43),2)</f>
        <v>300.71</v>
      </c>
      <c r="Q43" s="142">
        <f t="shared" ref="Q43:Q56" si="4">RANK(P43,$P$43:$P$56,0)</f>
        <v>3</v>
      </c>
    </row>
    <row r="44">
      <c r="A44" s="132">
        <v>45699.0</v>
      </c>
      <c r="B44" s="140">
        <f>'Lớp 11'!S9</f>
        <v>300</v>
      </c>
      <c r="C44" s="140">
        <f>'Lớp 11'!S49</f>
        <v>302.5</v>
      </c>
      <c r="D44" s="140">
        <f>'Lớp 11'!S87</f>
        <v>298.5</v>
      </c>
      <c r="E44" s="140">
        <f>'Lớp 11'!S125</f>
        <v>300</v>
      </c>
      <c r="F44" s="140">
        <f>'Lớp 11'!S162</f>
        <v>298.5</v>
      </c>
      <c r="G44" s="140">
        <f>'Lớp 11'!S198</f>
        <v>301</v>
      </c>
      <c r="H44" s="140">
        <f>'Lớp 11'!S234</f>
        <v>300</v>
      </c>
      <c r="I44" s="140">
        <f>'Lớp 11'!S268</f>
        <v>300</v>
      </c>
      <c r="J44" s="140">
        <f>'Lớp 11'!S301</f>
        <v>299</v>
      </c>
      <c r="K44" s="140">
        <f>'Lớp 11'!S334</f>
        <v>299</v>
      </c>
      <c r="L44" s="140">
        <f>'Lớp 11'!S371</f>
        <v>303</v>
      </c>
      <c r="M44" s="140">
        <f>'Lớp 11'!S417</f>
        <v>298</v>
      </c>
      <c r="N44" s="140">
        <f>'Lớp 11'!S455</f>
        <v>300</v>
      </c>
      <c r="O44" s="140">
        <f>'Lớp 11'!S490</f>
        <v>300</v>
      </c>
      <c r="P44" s="141">
        <f t="shared" si="3"/>
        <v>299.96</v>
      </c>
      <c r="Q44" s="142">
        <f t="shared" si="4"/>
        <v>9</v>
      </c>
    </row>
    <row r="45">
      <c r="A45" s="132">
        <v>45727.0</v>
      </c>
      <c r="B45" s="140">
        <f>'Lớp 11'!S10</f>
        <v>299</v>
      </c>
      <c r="C45" s="140">
        <f>'Lớp 11'!S50</f>
        <v>302.5</v>
      </c>
      <c r="D45" s="140">
        <f>'Lớp 11'!S88</f>
        <v>298</v>
      </c>
      <c r="E45" s="140">
        <f>'Lớp 11'!S126</f>
        <v>307</v>
      </c>
      <c r="F45" s="140">
        <f>'Lớp 11'!S163</f>
        <v>298.5</v>
      </c>
      <c r="G45" s="140">
        <f>'Lớp 11'!S199</f>
        <v>302</v>
      </c>
      <c r="H45" s="140">
        <f>'Lớp 11'!S235</f>
        <v>299.5</v>
      </c>
      <c r="I45" s="140">
        <f>'Lớp 11'!S269</f>
        <v>299</v>
      </c>
      <c r="J45" s="140">
        <f>'Lớp 11'!S302</f>
        <v>294.5</v>
      </c>
      <c r="K45" s="140">
        <f>'Lớp 11'!S335</f>
        <v>300.5</v>
      </c>
      <c r="L45" s="140">
        <f>'Lớp 11'!S372</f>
        <v>300.5</v>
      </c>
      <c r="M45" s="140">
        <f>'Lớp 11'!S418</f>
        <v>300.5</v>
      </c>
      <c r="N45" s="140">
        <f>'Lớp 11'!S456</f>
        <v>299.5</v>
      </c>
      <c r="O45" s="140">
        <f>'Lớp 11'!S491</f>
        <v>300</v>
      </c>
      <c r="P45" s="141">
        <f t="shared" si="3"/>
        <v>300.07</v>
      </c>
      <c r="Q45" s="142">
        <f t="shared" si="4"/>
        <v>8</v>
      </c>
    </row>
    <row r="46">
      <c r="A46" s="132">
        <v>45758.0</v>
      </c>
      <c r="B46" s="140">
        <f>'Lớp 11'!S11</f>
        <v>300</v>
      </c>
      <c r="C46" s="140">
        <f>'Lớp 11'!S51</f>
        <v>304</v>
      </c>
      <c r="D46" s="140">
        <f>'Lớp 11'!S89</f>
        <v>299.5</v>
      </c>
      <c r="E46" s="140">
        <f>'Lớp 11'!S127</f>
        <v>301.5</v>
      </c>
      <c r="F46" s="140">
        <f>'Lớp 11'!S164</f>
        <v>298</v>
      </c>
      <c r="G46" s="140">
        <f>'Lớp 11'!S200</f>
        <v>303</v>
      </c>
      <c r="H46" s="140">
        <f>'Lớp 11'!S236</f>
        <v>300.5</v>
      </c>
      <c r="I46" s="140">
        <f>'Lớp 11'!S270</f>
        <v>299.5</v>
      </c>
      <c r="J46" s="140">
        <f>'Lớp 11'!S303</f>
        <v>299</v>
      </c>
      <c r="K46" s="140">
        <f>'Lớp 11'!S336</f>
        <v>299.5</v>
      </c>
      <c r="L46" s="140">
        <f>'Lớp 11'!S373</f>
        <v>302.5</v>
      </c>
      <c r="M46" s="140">
        <f>'Lớp 11'!S419</f>
        <v>301</v>
      </c>
      <c r="N46" s="140">
        <f>'Lớp 11'!S457</f>
        <v>298.5</v>
      </c>
      <c r="O46" s="140">
        <f>'Lớp 11'!S492</f>
        <v>300</v>
      </c>
      <c r="P46" s="141">
        <f t="shared" si="3"/>
        <v>300.46</v>
      </c>
      <c r="Q46" s="142">
        <f t="shared" si="4"/>
        <v>6</v>
      </c>
    </row>
    <row r="47">
      <c r="A47" s="132">
        <v>45788.0</v>
      </c>
      <c r="B47" s="140">
        <f>'Lớp 11'!S12</f>
        <v>300</v>
      </c>
      <c r="C47" s="140">
        <f>'Lớp 11'!S52</f>
        <v>302.5</v>
      </c>
      <c r="D47" s="140">
        <f>'Lớp 11'!S90</f>
        <v>300.5</v>
      </c>
      <c r="E47" s="140">
        <f>'Lớp 11'!S128</f>
        <v>301</v>
      </c>
      <c r="F47" s="140">
        <f>'Lớp 11'!S165</f>
        <v>301</v>
      </c>
      <c r="G47" s="140">
        <f>'Lớp 11'!S201</f>
        <v>300.5</v>
      </c>
      <c r="H47" s="140">
        <f>'Lớp 11'!S237</f>
        <v>301</v>
      </c>
      <c r="I47" s="140">
        <f>'Lớp 11'!S271</f>
        <v>297.5</v>
      </c>
      <c r="J47" s="140">
        <f>'Lớp 11'!S304</f>
        <v>298.5</v>
      </c>
      <c r="K47" s="140">
        <f>'Lớp 11'!S337</f>
        <v>302</v>
      </c>
      <c r="L47" s="140">
        <f>'Lớp 11'!S374</f>
        <v>303.5</v>
      </c>
      <c r="M47" s="140">
        <f>'Lớp 11'!S420</f>
        <v>300.5</v>
      </c>
      <c r="N47" s="140">
        <f>'Lớp 11'!S458</f>
        <v>301</v>
      </c>
      <c r="O47" s="140">
        <f>'Lớp 11'!S493</f>
        <v>302</v>
      </c>
      <c r="P47" s="141">
        <f t="shared" si="3"/>
        <v>300.82</v>
      </c>
      <c r="Q47" s="142">
        <f t="shared" si="4"/>
        <v>2</v>
      </c>
    </row>
    <row r="48">
      <c r="A48" s="132">
        <v>45819.0</v>
      </c>
      <c r="B48" s="140">
        <f>'Lớp 11'!S13</f>
        <v>295</v>
      </c>
      <c r="C48" s="140">
        <f>'Lớp 11'!S53</f>
        <v>294.5</v>
      </c>
      <c r="D48" s="140">
        <f>'Lớp 11'!S91</f>
        <v>297.5</v>
      </c>
      <c r="E48" s="140">
        <f>'Lớp 11'!S129</f>
        <v>297</v>
      </c>
      <c r="F48" s="140">
        <f>'Lớp 11'!S166</f>
        <v>289.5</v>
      </c>
      <c r="G48" s="140">
        <f>'Lớp 11'!S202</f>
        <v>299.5</v>
      </c>
      <c r="H48" s="140">
        <f>'Lớp 11'!S238</f>
        <v>298.5</v>
      </c>
      <c r="I48" s="140">
        <f>'Lớp 11'!S272</f>
        <v>295.5</v>
      </c>
      <c r="J48" s="140">
        <f>'Lớp 11'!S305</f>
        <v>296.5</v>
      </c>
      <c r="K48" s="140">
        <f>'Lớp 11'!S338</f>
        <v>294</v>
      </c>
      <c r="L48" s="140">
        <f>'Lớp 11'!S375</f>
        <v>290</v>
      </c>
      <c r="M48" s="140">
        <f>'Lớp 11'!S421</f>
        <v>295.5</v>
      </c>
      <c r="N48" s="140">
        <f>'Lớp 11'!S459</f>
        <v>296</v>
      </c>
      <c r="O48" s="140">
        <f>'Lớp 11'!S494</f>
        <v>299</v>
      </c>
      <c r="P48" s="141">
        <f t="shared" si="3"/>
        <v>295.57</v>
      </c>
      <c r="Q48" s="142">
        <f t="shared" si="4"/>
        <v>14</v>
      </c>
    </row>
    <row r="49">
      <c r="A49" s="132">
        <v>45849.0</v>
      </c>
      <c r="B49" s="140">
        <f>'Lớp 11'!S14</f>
        <v>300</v>
      </c>
      <c r="C49" s="140">
        <f>'Lớp 11'!S54</f>
        <v>301.5</v>
      </c>
      <c r="D49" s="140">
        <f>'Lớp 11'!S92</f>
        <v>298.5</v>
      </c>
      <c r="E49" s="140">
        <f>'Lớp 11'!S130</f>
        <v>300.5</v>
      </c>
      <c r="F49" s="140">
        <f>'Lớp 11'!S167</f>
        <v>299.5</v>
      </c>
      <c r="G49" s="140">
        <f>'Lớp 11'!S203</f>
        <v>300.5</v>
      </c>
      <c r="H49" s="140">
        <f>'Lớp 11'!S239</f>
        <v>302.5</v>
      </c>
      <c r="I49" s="140">
        <f>'Lớp 11'!S273</f>
        <v>297</v>
      </c>
      <c r="J49" s="140">
        <f>'Lớp 11'!S306</f>
        <v>298</v>
      </c>
      <c r="K49" s="140">
        <f>'Lớp 11'!S339</f>
        <v>300.5</v>
      </c>
      <c r="L49" s="140">
        <f>'Lớp 11'!S376</f>
        <v>300.5</v>
      </c>
      <c r="M49" s="140">
        <f>'Lớp 11'!S422</f>
        <v>297.5</v>
      </c>
      <c r="N49" s="140">
        <f>'Lớp 11'!S460</f>
        <v>300</v>
      </c>
      <c r="O49" s="140">
        <f>'Lớp 11'!S495</f>
        <v>300</v>
      </c>
      <c r="P49" s="141">
        <f t="shared" si="3"/>
        <v>299.75</v>
      </c>
      <c r="Q49" s="142">
        <f t="shared" si="4"/>
        <v>10</v>
      </c>
    </row>
    <row r="50">
      <c r="A50" s="132">
        <v>45880.0</v>
      </c>
      <c r="B50" s="140">
        <f>'Lớp 11'!S15</f>
        <v>298.5</v>
      </c>
      <c r="C50" s="140">
        <f>'Lớp 11'!S55</f>
        <v>300.5</v>
      </c>
      <c r="D50" s="140">
        <f>'Lớp 11'!S93</f>
        <v>297.5</v>
      </c>
      <c r="E50" s="140">
        <f>'Lớp 11'!S131</f>
        <v>299.5</v>
      </c>
      <c r="F50" s="140">
        <f>'Lớp 11'!S168</f>
        <v>300.5</v>
      </c>
      <c r="G50" s="140">
        <f>'Lớp 11'!S204</f>
        <v>299</v>
      </c>
      <c r="H50" s="140">
        <f>'Lớp 11'!S240</f>
        <v>299.5</v>
      </c>
      <c r="I50" s="140">
        <f>'Lớp 11'!S274</f>
        <v>296.5</v>
      </c>
      <c r="J50" s="140">
        <f>'Lớp 11'!S307</f>
        <v>298.5</v>
      </c>
      <c r="K50" s="140">
        <f>'Lớp 11'!S340</f>
        <v>294</v>
      </c>
      <c r="L50" s="140">
        <f>'Lớp 11'!S377</f>
        <v>300</v>
      </c>
      <c r="M50" s="140">
        <f>'Lớp 11'!S423</f>
        <v>297.5</v>
      </c>
      <c r="N50" s="140">
        <f>'Lớp 11'!S461</f>
        <v>295</v>
      </c>
      <c r="O50" s="140">
        <f>'Lớp 11'!S496</f>
        <v>299</v>
      </c>
      <c r="P50" s="141">
        <f t="shared" si="3"/>
        <v>298.25</v>
      </c>
      <c r="Q50" s="142">
        <f t="shared" si="4"/>
        <v>13</v>
      </c>
    </row>
    <row r="51">
      <c r="A51" s="132">
        <v>45911.0</v>
      </c>
      <c r="B51" s="140">
        <f>'Lớp 11'!S16</f>
        <v>299.5</v>
      </c>
      <c r="C51" s="140">
        <f>'Lớp 11'!S56</f>
        <v>301</v>
      </c>
      <c r="D51" s="140">
        <f>'Lớp 11'!S94</f>
        <v>298</v>
      </c>
      <c r="E51" s="140">
        <f>'Lớp 11'!S132</f>
        <v>300.5</v>
      </c>
      <c r="F51" s="140">
        <f>'Lớp 11'!S169</f>
        <v>297.5</v>
      </c>
      <c r="G51" s="140">
        <f>'Lớp 11'!S205</f>
        <v>300.5</v>
      </c>
      <c r="H51" s="140">
        <f>'Lớp 11'!S241</f>
        <v>300</v>
      </c>
      <c r="I51" s="140">
        <f>'Lớp 11'!S275</f>
        <v>295</v>
      </c>
      <c r="J51" s="140">
        <f>'Lớp 11'!S308</f>
        <v>298</v>
      </c>
      <c r="K51" s="140">
        <f>'Lớp 11'!S341</f>
        <v>302</v>
      </c>
      <c r="L51" s="140">
        <f>'Lớp 11'!S378</f>
        <v>300.5</v>
      </c>
      <c r="M51" s="140">
        <f>'Lớp 11'!S424</f>
        <v>300.5</v>
      </c>
      <c r="N51" s="140">
        <f>'Lớp 11'!S462</f>
        <v>298.5</v>
      </c>
      <c r="O51" s="140">
        <f>'Lớp 11'!S497</f>
        <v>300</v>
      </c>
      <c r="P51" s="141">
        <f t="shared" si="3"/>
        <v>299.39</v>
      </c>
      <c r="Q51" s="142">
        <f t="shared" si="4"/>
        <v>11</v>
      </c>
    </row>
    <row r="52">
      <c r="A52" s="132">
        <v>45941.0</v>
      </c>
      <c r="B52" s="140">
        <f>'Lớp 11'!S17</f>
        <v>299.5</v>
      </c>
      <c r="C52" s="140">
        <f>'Lớp 11'!S57</f>
        <v>302.5</v>
      </c>
      <c r="D52" s="140">
        <f>'Lớp 11'!S95</f>
        <v>299</v>
      </c>
      <c r="E52" s="140">
        <f>'Lớp 11'!S133</f>
        <v>302</v>
      </c>
      <c r="F52" s="140">
        <f>'Lớp 11'!S170</f>
        <v>300</v>
      </c>
      <c r="G52" s="140">
        <f>'Lớp 11'!S206</f>
        <v>301</v>
      </c>
      <c r="H52" s="140">
        <f>'Lớp 11'!S242</f>
        <v>303.5</v>
      </c>
      <c r="I52" s="140">
        <f>'Lớp 11'!S276</f>
        <v>300</v>
      </c>
      <c r="J52" s="140">
        <f>'Lớp 11'!S309</f>
        <v>300</v>
      </c>
      <c r="K52" s="140">
        <f>'Lớp 11'!S342</f>
        <v>302</v>
      </c>
      <c r="L52" s="140">
        <f>'Lớp 11'!S379</f>
        <v>304</v>
      </c>
      <c r="M52" s="140">
        <f>'Lớp 11'!S425</f>
        <v>299</v>
      </c>
      <c r="N52" s="140">
        <f>'Lớp 11'!S463</f>
        <v>303</v>
      </c>
      <c r="O52" s="140">
        <f>'Lớp 11'!S498</f>
        <v>300</v>
      </c>
      <c r="P52" s="141">
        <f t="shared" si="3"/>
        <v>301.11</v>
      </c>
      <c r="Q52" s="142">
        <f t="shared" si="4"/>
        <v>1</v>
      </c>
    </row>
    <row r="53">
      <c r="A53" s="132">
        <v>45972.0</v>
      </c>
      <c r="B53" s="140">
        <f>'Lớp 11'!S18</f>
        <v>300</v>
      </c>
      <c r="C53" s="140">
        <f>'Lớp 11'!S58</f>
        <v>301</v>
      </c>
      <c r="D53" s="140">
        <f>'Lớp 11'!S96</f>
        <v>299</v>
      </c>
      <c r="E53" s="140">
        <f>'Lớp 11'!S134</f>
        <v>300.5</v>
      </c>
      <c r="F53" s="140">
        <f>'Lớp 11'!S171</f>
        <v>301</v>
      </c>
      <c r="G53" s="140">
        <f>'Lớp 11'!S207</f>
        <v>301.5</v>
      </c>
      <c r="H53" s="140">
        <f>'Lớp 11'!S243</f>
        <v>301.5</v>
      </c>
      <c r="I53" s="140">
        <f>'Lớp 11'!S277</f>
        <v>299</v>
      </c>
      <c r="J53" s="140">
        <f>'Lớp 11'!S310</f>
        <v>300</v>
      </c>
      <c r="K53" s="140">
        <f>'Lớp 11'!S343</f>
        <v>301.5</v>
      </c>
      <c r="L53" s="140">
        <f>'Lớp 11'!S380</f>
        <v>302</v>
      </c>
      <c r="M53" s="140">
        <f>'Lớp 11'!S426</f>
        <v>300</v>
      </c>
      <c r="N53" s="140">
        <f>'Lớp 11'!S464</f>
        <v>299</v>
      </c>
      <c r="O53" s="140">
        <f>'Lớp 11'!S499</f>
        <v>300</v>
      </c>
      <c r="P53" s="141">
        <f t="shared" si="3"/>
        <v>300.43</v>
      </c>
      <c r="Q53" s="142">
        <f t="shared" si="4"/>
        <v>7</v>
      </c>
    </row>
    <row r="54">
      <c r="A54" s="132">
        <v>46002.0</v>
      </c>
      <c r="B54" s="140">
        <f>'Lớp 11'!S19</f>
        <v>297.5</v>
      </c>
      <c r="C54" s="140">
        <f>'Lớp 11'!S59</f>
        <v>302</v>
      </c>
      <c r="D54" s="140">
        <f>'Lớp 11'!S97</f>
        <v>298.5</v>
      </c>
      <c r="E54" s="140">
        <f>'Lớp 11'!S135</f>
        <v>301</v>
      </c>
      <c r="F54" s="140">
        <f>'Lớp 11'!S172</f>
        <v>301</v>
      </c>
      <c r="G54" s="140">
        <f>'Lớp 11'!S208</f>
        <v>301</v>
      </c>
      <c r="H54" s="140">
        <f>'Lớp 11'!S244</f>
        <v>301.5</v>
      </c>
      <c r="I54" s="140">
        <f>'Lớp 11'!S278</f>
        <v>300</v>
      </c>
      <c r="J54" s="140">
        <f>'Lớp 11'!S311</f>
        <v>300</v>
      </c>
      <c r="K54" s="140">
        <f>'Lớp 11'!S344</f>
        <v>301</v>
      </c>
      <c r="L54" s="140">
        <f>'Lớp 11'!S381</f>
        <v>303</v>
      </c>
      <c r="M54" s="140">
        <f>'Lớp 11'!S427</f>
        <v>300.5</v>
      </c>
      <c r="N54" s="140">
        <f>'Lớp 11'!S465</f>
        <v>300.5</v>
      </c>
      <c r="O54" s="140">
        <f>'Lớp 11'!S500</f>
        <v>299.5</v>
      </c>
      <c r="P54" s="141">
        <f t="shared" si="3"/>
        <v>300.5</v>
      </c>
      <c r="Q54" s="142">
        <f t="shared" si="4"/>
        <v>5</v>
      </c>
    </row>
    <row r="55">
      <c r="A55" s="143" t="s">
        <v>251</v>
      </c>
      <c r="B55" s="140">
        <f>'Lớp 11'!S20</f>
        <v>299.5</v>
      </c>
      <c r="C55" s="140">
        <f>'Lớp 11'!S60</f>
        <v>302</v>
      </c>
      <c r="D55" s="140">
        <f>'Lớp 11'!S98</f>
        <v>299</v>
      </c>
      <c r="E55" s="140">
        <f>'Lớp 11'!S136</f>
        <v>301.5</v>
      </c>
      <c r="F55" s="140">
        <f>'Lớp 11'!S173</f>
        <v>301</v>
      </c>
      <c r="G55" s="140">
        <f>'Lớp 11'!S209</f>
        <v>300.5</v>
      </c>
      <c r="H55" s="140">
        <f>'Lớp 11'!S245</f>
        <v>301</v>
      </c>
      <c r="I55" s="140">
        <f>'Lớp 11'!S279</f>
        <v>299</v>
      </c>
      <c r="J55" s="140">
        <f>'Lớp 11'!S312</f>
        <v>300</v>
      </c>
      <c r="K55" s="140">
        <f>'Lớp 11'!S345</f>
        <v>299.5</v>
      </c>
      <c r="L55" s="140">
        <f>'Lớp 11'!S382</f>
        <v>303.5</v>
      </c>
      <c r="M55" s="140">
        <f>'Lớp 11'!S428</f>
        <v>300</v>
      </c>
      <c r="N55" s="140">
        <f>'Lớp 11'!S466</f>
        <v>301</v>
      </c>
      <c r="O55" s="140">
        <f>'Lớp 11'!S501</f>
        <v>300.5</v>
      </c>
      <c r="P55" s="141">
        <f t="shared" si="3"/>
        <v>300.57</v>
      </c>
      <c r="Q55" s="142">
        <f t="shared" si="4"/>
        <v>4</v>
      </c>
    </row>
    <row r="56">
      <c r="A56" s="144" t="s">
        <v>252</v>
      </c>
      <c r="B56" s="152">
        <f>'Lớp 11'!S21</f>
        <v>297.5</v>
      </c>
      <c r="C56" s="152">
        <f>'Lớp 11'!S61</f>
        <v>300</v>
      </c>
      <c r="D56" s="152">
        <f>'Lớp 11'!S99</f>
        <v>298</v>
      </c>
      <c r="E56" s="152">
        <f>'Lớp 11'!S137</f>
        <v>298.5</v>
      </c>
      <c r="F56" s="152">
        <f>'Lớp 11'!S174</f>
        <v>299</v>
      </c>
      <c r="G56" s="152">
        <f>'Lớp 11'!S210</f>
        <v>300.5</v>
      </c>
      <c r="H56" s="152">
        <f>'Lớp 11'!S246</f>
        <v>300.5</v>
      </c>
      <c r="I56" s="152">
        <f>'Lớp 11'!S280</f>
        <v>297.5</v>
      </c>
      <c r="J56" s="152">
        <f>'Lớp 11'!S313</f>
        <v>298.5</v>
      </c>
      <c r="K56" s="152">
        <f>'Lớp 11'!S346</f>
        <v>297.5</v>
      </c>
      <c r="L56" s="152">
        <f>'Lớp 11'!S383</f>
        <v>301</v>
      </c>
      <c r="M56" s="152">
        <f>'Lớp 11'!S429</f>
        <v>297</v>
      </c>
      <c r="N56" s="152">
        <f>'Lớp 11'!S467</f>
        <v>299</v>
      </c>
      <c r="O56" s="152">
        <f>'Lớp 11'!S502</f>
        <v>299.5</v>
      </c>
      <c r="P56" s="153">
        <f t="shared" si="3"/>
        <v>298.86</v>
      </c>
      <c r="Q56" s="154">
        <f t="shared" si="4"/>
        <v>12</v>
      </c>
    </row>
    <row r="57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</row>
    <row r="58">
      <c r="A58" s="129"/>
      <c r="B58" s="149" t="s">
        <v>703</v>
      </c>
      <c r="C58" s="11"/>
      <c r="D58" s="149" t="s">
        <v>704</v>
      </c>
      <c r="E58" s="10"/>
      <c r="F58" s="10"/>
      <c r="G58" s="11"/>
      <c r="H58" s="138" t="s">
        <v>705</v>
      </c>
      <c r="I58" s="136"/>
      <c r="J58" s="136"/>
      <c r="K58" s="136"/>
      <c r="L58" s="136"/>
      <c r="M58" s="136"/>
      <c r="N58" s="136"/>
      <c r="O58" s="136"/>
      <c r="P58" s="136"/>
      <c r="Q58" s="136"/>
    </row>
    <row r="59" ht="46.5" customHeight="1">
      <c r="A59" s="129"/>
      <c r="B59" s="149" t="s">
        <v>706</v>
      </c>
      <c r="C59" s="11"/>
      <c r="D59" s="155" t="s">
        <v>714</v>
      </c>
      <c r="E59" s="10"/>
      <c r="F59" s="10"/>
      <c r="G59" s="11"/>
      <c r="H59" s="151" t="s">
        <v>708</v>
      </c>
      <c r="I59" s="136"/>
      <c r="J59" s="136"/>
      <c r="K59" s="136"/>
      <c r="L59" s="136"/>
      <c r="M59" s="136"/>
      <c r="N59" s="136"/>
      <c r="O59" s="136"/>
      <c r="P59" s="136"/>
      <c r="Q59" s="136"/>
    </row>
    <row r="60">
      <c r="A60" s="129"/>
      <c r="B60" s="149" t="s">
        <v>709</v>
      </c>
      <c r="C60" s="11"/>
      <c r="D60" s="156" t="s">
        <v>715</v>
      </c>
      <c r="E60" s="10"/>
      <c r="F60" s="10"/>
      <c r="G60" s="11"/>
      <c r="H60" s="151" t="s">
        <v>711</v>
      </c>
      <c r="I60" s="136"/>
      <c r="J60" s="136"/>
      <c r="K60" s="136"/>
      <c r="L60" s="136"/>
      <c r="M60" s="136"/>
      <c r="N60" s="136"/>
      <c r="O60" s="136"/>
      <c r="P60" s="136"/>
      <c r="Q60" s="136"/>
    </row>
    <row r="61">
      <c r="A61" s="129"/>
      <c r="B61" s="129"/>
      <c r="C61" s="129"/>
      <c r="D61" s="129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</row>
    <row r="62">
      <c r="A62" s="129"/>
      <c r="B62" s="129"/>
      <c r="C62" s="129"/>
      <c r="D62" s="129"/>
      <c r="E62" s="136"/>
      <c r="F62" s="136"/>
      <c r="G62" s="136"/>
      <c r="H62" s="136"/>
      <c r="I62" s="136"/>
      <c r="J62" s="136"/>
      <c r="K62" s="136"/>
      <c r="L62" s="136"/>
      <c r="M62" s="136"/>
      <c r="N62" s="136" t="s">
        <v>712</v>
      </c>
      <c r="O62" s="136"/>
      <c r="P62" s="136"/>
      <c r="Q62" s="136"/>
    </row>
    <row r="63">
      <c r="D63" s="129"/>
      <c r="E63" s="128" t="s">
        <v>682</v>
      </c>
      <c r="H63" s="128"/>
      <c r="I63" s="128"/>
      <c r="J63" s="128"/>
      <c r="K63" s="128"/>
      <c r="L63" s="128"/>
      <c r="M63" s="128"/>
      <c r="N63" s="128" t="s">
        <v>683</v>
      </c>
      <c r="O63" s="128"/>
      <c r="P63" s="128"/>
      <c r="Q63" s="128"/>
    </row>
    <row r="64">
      <c r="D64" s="129"/>
      <c r="E64" s="128" t="s">
        <v>684</v>
      </c>
      <c r="H64" s="128"/>
      <c r="I64" s="128"/>
      <c r="J64" s="128"/>
      <c r="K64" s="128"/>
      <c r="L64" s="128"/>
      <c r="M64" s="128"/>
      <c r="N64" s="128" t="s">
        <v>685</v>
      </c>
      <c r="O64" s="128"/>
      <c r="P64" s="128"/>
      <c r="Q64" s="128"/>
    </row>
    <row r="65"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</row>
    <row r="66"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</row>
    <row r="67"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</row>
    <row r="68"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</row>
    <row r="69"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</row>
    <row r="70">
      <c r="D70" s="129"/>
      <c r="E70" s="128" t="s">
        <v>686</v>
      </c>
      <c r="H70" s="128"/>
      <c r="I70" s="128"/>
      <c r="J70" s="128"/>
      <c r="K70" s="128"/>
      <c r="L70" s="128"/>
      <c r="M70" s="128"/>
      <c r="N70" s="128" t="s">
        <v>687</v>
      </c>
      <c r="O70" s="128"/>
      <c r="P70" s="128"/>
      <c r="Q70" s="128"/>
    </row>
    <row r="71">
      <c r="A71" s="145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</row>
    <row r="72">
      <c r="A72" s="145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</row>
    <row r="73">
      <c r="A73" s="126" t="s">
        <v>668</v>
      </c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</row>
    <row r="74">
      <c r="A74" s="128" t="s">
        <v>669</v>
      </c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</row>
    <row r="75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</row>
    <row r="76">
      <c r="A76" s="128" t="s">
        <v>716</v>
      </c>
    </row>
    <row r="77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</row>
    <row r="78">
      <c r="A78" s="137" t="s">
        <v>691</v>
      </c>
      <c r="B78" s="138" t="s">
        <v>672</v>
      </c>
      <c r="C78" s="138" t="s">
        <v>673</v>
      </c>
      <c r="D78" s="138" t="s">
        <v>674</v>
      </c>
      <c r="E78" s="138" t="s">
        <v>675</v>
      </c>
      <c r="F78" s="138" t="s">
        <v>676</v>
      </c>
      <c r="G78" s="138" t="s">
        <v>677</v>
      </c>
      <c r="H78" s="138" t="s">
        <v>678</v>
      </c>
      <c r="I78" s="138" t="s">
        <v>693</v>
      </c>
      <c r="J78" s="138" t="s">
        <v>694</v>
      </c>
      <c r="K78" s="138" t="s">
        <v>695</v>
      </c>
      <c r="L78" s="138" t="s">
        <v>696</v>
      </c>
      <c r="M78" s="138" t="s">
        <v>697</v>
      </c>
      <c r="N78" s="138" t="s">
        <v>698</v>
      </c>
      <c r="O78" s="138" t="s">
        <v>699</v>
      </c>
      <c r="P78" s="138" t="s">
        <v>679</v>
      </c>
      <c r="Q78" s="138" t="s">
        <v>680</v>
      </c>
    </row>
    <row r="79">
      <c r="A79" s="139">
        <v>45669.0</v>
      </c>
      <c r="B79" s="140">
        <f>'Lớp 12'!S8</f>
        <v>302</v>
      </c>
      <c r="C79" s="140">
        <f>'Lớp 12'!S48</f>
        <v>300</v>
      </c>
      <c r="D79" s="140">
        <f>'Lớp 12'!S86</f>
        <v>300</v>
      </c>
      <c r="E79" s="140">
        <f>'Lớp 12'!S118</f>
        <v>302</v>
      </c>
      <c r="F79" s="140">
        <f>'Lớp 12'!S156</f>
        <v>301</v>
      </c>
      <c r="G79" s="140">
        <f>'Lớp 12'!S191</f>
        <v>300</v>
      </c>
      <c r="H79" s="140">
        <f>'Lớp 12'!S223</f>
        <v>302</v>
      </c>
      <c r="I79" s="140">
        <f>'Lớp 12'!S257</f>
        <v>300</v>
      </c>
      <c r="J79" s="140">
        <f>'Lớp 12'!S289</f>
        <v>299.5</v>
      </c>
      <c r="K79" s="140">
        <f>'Lớp 12'!S324</f>
        <v>301.5</v>
      </c>
      <c r="L79" s="140">
        <f>'Lớp 12'!S356</f>
        <v>300.5</v>
      </c>
      <c r="M79" s="140">
        <f>'Lớp 12'!S391</f>
        <v>300</v>
      </c>
      <c r="N79" s="140">
        <f>'Lớp 12'!S428</f>
        <v>300</v>
      </c>
      <c r="O79" s="140">
        <f>'Lớp 12'!S463</f>
        <v>300</v>
      </c>
      <c r="P79" s="141">
        <f t="shared" ref="P79:P92" si="5">round(average(B79:O79),2)</f>
        <v>300.61</v>
      </c>
      <c r="Q79" s="142">
        <f t="shared" ref="Q79:Q92" si="6">rank(P79,$P$79:$P$92,0)</f>
        <v>1</v>
      </c>
    </row>
    <row r="80">
      <c r="A80" s="132">
        <v>45700.0</v>
      </c>
      <c r="B80" s="140">
        <f>'Lớp 12'!S9</f>
        <v>293</v>
      </c>
      <c r="C80" s="140">
        <f>'Lớp 12'!S49</f>
        <v>301</v>
      </c>
      <c r="D80" s="140">
        <f>'Lớp 12'!S87</f>
        <v>299.5</v>
      </c>
      <c r="E80" s="140">
        <f>'Lớp 12'!S119</f>
        <v>298.5</v>
      </c>
      <c r="F80" s="140">
        <f>'Lớp 12'!S157</f>
        <v>297.5</v>
      </c>
      <c r="G80" s="140">
        <f>'Lớp 12'!S192</f>
        <v>298.5</v>
      </c>
      <c r="H80" s="140">
        <f>'Lớp 12'!S224</f>
        <v>302.5</v>
      </c>
      <c r="I80" s="140">
        <f>'Lớp 12'!S258</f>
        <v>298</v>
      </c>
      <c r="J80" s="140">
        <f>'Lớp 12'!S290</f>
        <v>297</v>
      </c>
      <c r="K80" s="140">
        <f>'Lớp 12'!S325</f>
        <v>298.5</v>
      </c>
      <c r="L80" s="140">
        <f>'Lớp 12'!S357</f>
        <v>298.5</v>
      </c>
      <c r="M80" s="140">
        <f>'Lớp 12'!S392</f>
        <v>295.5</v>
      </c>
      <c r="N80" s="140">
        <f>'Lớp 12'!S429</f>
        <v>299</v>
      </c>
      <c r="O80" s="140">
        <f>'Lớp 12'!S464</f>
        <v>299</v>
      </c>
      <c r="P80" s="141">
        <f t="shared" si="5"/>
        <v>298.29</v>
      </c>
      <c r="Q80" s="142">
        <f t="shared" si="6"/>
        <v>14</v>
      </c>
    </row>
    <row r="81">
      <c r="A81" s="132">
        <v>45728.0</v>
      </c>
      <c r="B81" s="140">
        <f>'Lớp 12'!S10</f>
        <v>299</v>
      </c>
      <c r="C81" s="140">
        <f>'Lớp 12'!S50</f>
        <v>300.5</v>
      </c>
      <c r="D81" s="140">
        <f>'Lớp 12'!S88</f>
        <v>298</v>
      </c>
      <c r="E81" s="140">
        <f>'Lớp 12'!S120</f>
        <v>299.5</v>
      </c>
      <c r="F81" s="140">
        <f>'Lớp 12'!S158</f>
        <v>300</v>
      </c>
      <c r="G81" s="140">
        <f>'Lớp 12'!S193</f>
        <v>299.5</v>
      </c>
      <c r="H81" s="140">
        <f>'Lớp 12'!S225</f>
        <v>301.5</v>
      </c>
      <c r="I81" s="140">
        <f>'Lớp 12'!S259</f>
        <v>300</v>
      </c>
      <c r="J81" s="140">
        <f>'Lớp 12'!S291</f>
        <v>295</v>
      </c>
      <c r="K81" s="140">
        <f>'Lớp 12'!S326</f>
        <v>300</v>
      </c>
      <c r="L81" s="140">
        <f>'Lớp 12'!S358</f>
        <v>301.5</v>
      </c>
      <c r="M81" s="140">
        <f>'Lớp 12'!S393</f>
        <v>298.5</v>
      </c>
      <c r="N81" s="140">
        <f>'Lớp 12'!S430</f>
        <v>295.5</v>
      </c>
      <c r="O81" s="140">
        <f>'Lớp 12'!S465</f>
        <v>299.5</v>
      </c>
      <c r="P81" s="141">
        <f t="shared" si="5"/>
        <v>299.14</v>
      </c>
      <c r="Q81" s="142">
        <f t="shared" si="6"/>
        <v>11</v>
      </c>
    </row>
    <row r="82">
      <c r="A82" s="132">
        <v>45759.0</v>
      </c>
      <c r="B82" s="140">
        <f>'Lớp 12'!S11</f>
        <v>293.5</v>
      </c>
      <c r="C82" s="140">
        <f>'Lớp 12'!S51</f>
        <v>300.5</v>
      </c>
      <c r="D82" s="140">
        <f>'Lớp 12'!S89</f>
        <v>300</v>
      </c>
      <c r="E82" s="140">
        <f>'Lớp 12'!S121</f>
        <v>301.5</v>
      </c>
      <c r="F82" s="140">
        <f>'Lớp 12'!S159</f>
        <v>301</v>
      </c>
      <c r="G82" s="140">
        <f>'Lớp 12'!S194</f>
        <v>299</v>
      </c>
      <c r="H82" s="140">
        <f>'Lớp 12'!S226</f>
        <v>300.5</v>
      </c>
      <c r="I82" s="140">
        <f>'Lớp 12'!S260</f>
        <v>299.5</v>
      </c>
      <c r="J82" s="140">
        <f>'Lớp 12'!S292</f>
        <v>298.5</v>
      </c>
      <c r="K82" s="140">
        <f>'Lớp 12'!S327</f>
        <v>301</v>
      </c>
      <c r="L82" s="140">
        <f>'Lớp 12'!S359</f>
        <v>301</v>
      </c>
      <c r="M82" s="140">
        <f>'Lớp 12'!S394</f>
        <v>299.5</v>
      </c>
      <c r="N82" s="140">
        <f>'Lớp 12'!S431</f>
        <v>296.5</v>
      </c>
      <c r="O82" s="140">
        <f>'Lớp 12'!S466</f>
        <v>300.5</v>
      </c>
      <c r="P82" s="141">
        <f t="shared" si="5"/>
        <v>299.46</v>
      </c>
      <c r="Q82" s="142">
        <f t="shared" si="6"/>
        <v>8</v>
      </c>
    </row>
    <row r="83">
      <c r="A83" s="132">
        <v>45789.0</v>
      </c>
      <c r="B83" s="140">
        <f>'Lớp 12'!S12</f>
        <v>300</v>
      </c>
      <c r="C83" s="140">
        <f>'Lớp 12'!S52</f>
        <v>302.5</v>
      </c>
      <c r="D83" s="140">
        <f>'Lớp 12'!S90</f>
        <v>299.5</v>
      </c>
      <c r="E83" s="140">
        <f>'Lớp 12'!S122</f>
        <v>300</v>
      </c>
      <c r="F83" s="140">
        <f>'Lớp 12'!S160</f>
        <v>299</v>
      </c>
      <c r="G83" s="140">
        <f>'Lớp 12'!S195</f>
        <v>300.5</v>
      </c>
      <c r="H83" s="140">
        <f>'Lớp 12'!S227</f>
        <v>301.5</v>
      </c>
      <c r="I83" s="140">
        <f>'Lớp 12'!S261</f>
        <v>299.5</v>
      </c>
      <c r="J83" s="140">
        <f>'Lớp 12'!S293</f>
        <v>300</v>
      </c>
      <c r="K83" s="140">
        <f>'Lớp 12'!S328</f>
        <v>301</v>
      </c>
      <c r="L83" s="140">
        <f>'Lớp 12'!S360</f>
        <v>300</v>
      </c>
      <c r="M83" s="140">
        <f>'Lớp 12'!S395</f>
        <v>299.5</v>
      </c>
      <c r="N83" s="140">
        <f>'Lớp 12'!S432</f>
        <v>298</v>
      </c>
      <c r="O83" s="140">
        <f>'Lớp 12'!S467</f>
        <v>300.5</v>
      </c>
      <c r="P83" s="141">
        <f t="shared" si="5"/>
        <v>300.11</v>
      </c>
      <c r="Q83" s="142">
        <f t="shared" si="6"/>
        <v>5</v>
      </c>
    </row>
    <row r="84">
      <c r="A84" s="132">
        <v>45820.0</v>
      </c>
      <c r="B84" s="140">
        <f>'Lớp 12'!S13</f>
        <v>298.5</v>
      </c>
      <c r="C84" s="140">
        <f>'Lớp 12'!S53</f>
        <v>301.5</v>
      </c>
      <c r="D84" s="140">
        <f>'Lớp 12'!S91</f>
        <v>298.5</v>
      </c>
      <c r="E84" s="140">
        <f>'Lớp 12'!S123</f>
        <v>297.5</v>
      </c>
      <c r="F84" s="140">
        <f>'Lớp 12'!S161</f>
        <v>300</v>
      </c>
      <c r="G84" s="140">
        <f>'Lớp 12'!S196</f>
        <v>300</v>
      </c>
      <c r="H84" s="140">
        <f>'Lớp 12'!S228</f>
        <v>301.5</v>
      </c>
      <c r="I84" s="140">
        <f>'Lớp 12'!S262</f>
        <v>298.5</v>
      </c>
      <c r="J84" s="140">
        <f>'Lớp 12'!S294</f>
        <v>298.5</v>
      </c>
      <c r="K84" s="140">
        <f>'Lớp 12'!S329</f>
        <v>300</v>
      </c>
      <c r="L84" s="140">
        <f>'Lớp 12'!S361</f>
        <v>300</v>
      </c>
      <c r="M84" s="140">
        <f>'Lớp 12'!S396</f>
        <v>299</v>
      </c>
      <c r="N84" s="140">
        <f>'Lớp 12'!S433</f>
        <v>300</v>
      </c>
      <c r="O84" s="140">
        <f>'Lớp 12'!S468</f>
        <v>296</v>
      </c>
      <c r="P84" s="141">
        <f t="shared" si="5"/>
        <v>299.25</v>
      </c>
      <c r="Q84" s="142">
        <f t="shared" si="6"/>
        <v>9</v>
      </c>
    </row>
    <row r="85">
      <c r="A85" s="132">
        <v>45850.0</v>
      </c>
      <c r="B85" s="140">
        <f>'Lớp 12'!S14</f>
        <v>299</v>
      </c>
      <c r="C85" s="140">
        <f>'Lớp 12'!S54</f>
        <v>299.5</v>
      </c>
      <c r="D85" s="140">
        <f>'Lớp 12'!S92</f>
        <v>298.5</v>
      </c>
      <c r="E85" s="140">
        <f>'Lớp 12'!S124</f>
        <v>295</v>
      </c>
      <c r="F85" s="140">
        <f>'Lớp 12'!S162</f>
        <v>300</v>
      </c>
      <c r="G85" s="140">
        <f>'Lớp 12'!S197</f>
        <v>300</v>
      </c>
      <c r="H85" s="140">
        <f>'Lớp 12'!S229</f>
        <v>301</v>
      </c>
      <c r="I85" s="140">
        <f>'Lớp 12'!S263</f>
        <v>298</v>
      </c>
      <c r="J85" s="140">
        <f>'Lớp 12'!S295</f>
        <v>299</v>
      </c>
      <c r="K85" s="140">
        <f>'Lớp 12'!S330</f>
        <v>300</v>
      </c>
      <c r="L85" s="140">
        <f>'Lớp 12'!S362</f>
        <v>298</v>
      </c>
      <c r="M85" s="140">
        <f>'Lớp 12'!S397</f>
        <v>299</v>
      </c>
      <c r="N85" s="140">
        <f>'Lớp 12'!S434</f>
        <v>299</v>
      </c>
      <c r="O85" s="140">
        <f>'Lớp 12'!S469</f>
        <v>300</v>
      </c>
      <c r="P85" s="141">
        <f t="shared" si="5"/>
        <v>299</v>
      </c>
      <c r="Q85" s="142">
        <f t="shared" si="6"/>
        <v>12</v>
      </c>
    </row>
    <row r="86">
      <c r="A86" s="132">
        <v>45881.0</v>
      </c>
      <c r="B86" s="140">
        <f>'Lớp 12'!S15</f>
        <v>295.5</v>
      </c>
      <c r="C86" s="140">
        <f>'Lớp 12'!S55</f>
        <v>300</v>
      </c>
      <c r="D86" s="140">
        <f>'Lớp 12'!S93</f>
        <v>299</v>
      </c>
      <c r="E86" s="140">
        <f>'Lớp 12'!S125</f>
        <v>293</v>
      </c>
      <c r="F86" s="140">
        <f>'Lớp 12'!S163</f>
        <v>300</v>
      </c>
      <c r="G86" s="140">
        <f>'Lớp 12'!S198</f>
        <v>300</v>
      </c>
      <c r="H86" s="140">
        <f>'Lớp 12'!S230</f>
        <v>300.5</v>
      </c>
      <c r="I86" s="140">
        <f>'Lớp 12'!S264</f>
        <v>295.5</v>
      </c>
      <c r="J86" s="140">
        <f>'Lớp 12'!S296</f>
        <v>298.5</v>
      </c>
      <c r="K86" s="140">
        <f>'Lớp 12'!S331</f>
        <v>300</v>
      </c>
      <c r="L86" s="140">
        <f>'Lớp 12'!S363</f>
        <v>300.5</v>
      </c>
      <c r="M86" s="140">
        <f>'Lớp 12'!S398</f>
        <v>299</v>
      </c>
      <c r="N86" s="140">
        <f>'Lớp 12'!S435</f>
        <v>299</v>
      </c>
      <c r="O86" s="140">
        <f>'Lớp 12'!S470</f>
        <v>299</v>
      </c>
      <c r="P86" s="141">
        <f t="shared" si="5"/>
        <v>298.54</v>
      </c>
      <c r="Q86" s="142">
        <f t="shared" si="6"/>
        <v>13</v>
      </c>
    </row>
    <row r="87">
      <c r="A87" s="132">
        <v>45912.0</v>
      </c>
      <c r="B87" s="140">
        <f>'Lớp 12'!S16</f>
        <v>299</v>
      </c>
      <c r="C87" s="140">
        <f>'Lớp 12'!S56</f>
        <v>302.5</v>
      </c>
      <c r="D87" s="140">
        <f>'Lớp 12'!S94</f>
        <v>299.5</v>
      </c>
      <c r="E87" s="140">
        <f>'Lớp 12'!S126</f>
        <v>299.5</v>
      </c>
      <c r="F87" s="140">
        <f>'Lớp 12'!S164</f>
        <v>299</v>
      </c>
      <c r="G87" s="140">
        <f>'Lớp 12'!S199</f>
        <v>300.5</v>
      </c>
      <c r="H87" s="140">
        <f>'Lớp 12'!S231</f>
        <v>302</v>
      </c>
      <c r="I87" s="140">
        <f>'Lớp 12'!S265</f>
        <v>300</v>
      </c>
      <c r="J87" s="140">
        <f>'Lớp 12'!S297</f>
        <v>299</v>
      </c>
      <c r="K87" s="140">
        <f>'Lớp 12'!S332</f>
        <v>300.5</v>
      </c>
      <c r="L87" s="140">
        <f>'Lớp 12'!S364</f>
        <v>301.5</v>
      </c>
      <c r="M87" s="140">
        <f>'Lớp 12'!S399</f>
        <v>299</v>
      </c>
      <c r="N87" s="140">
        <f>'Lớp 12'!S436</f>
        <v>300</v>
      </c>
      <c r="O87" s="140">
        <f>'Lớp 12'!S471</f>
        <v>300.5</v>
      </c>
      <c r="P87" s="141">
        <f t="shared" si="5"/>
        <v>300.18</v>
      </c>
      <c r="Q87" s="142">
        <f t="shared" si="6"/>
        <v>4</v>
      </c>
    </row>
    <row r="88">
      <c r="A88" s="132">
        <v>45942.0</v>
      </c>
      <c r="B88" s="140">
        <f>'Lớp 12'!S17</f>
        <v>299</v>
      </c>
      <c r="C88" s="140">
        <f>'Lớp 12'!S57</f>
        <v>302</v>
      </c>
      <c r="D88" s="140">
        <f>'Lớp 12'!S95</f>
        <v>298.5</v>
      </c>
      <c r="E88" s="140">
        <f>'Lớp 12'!S127</f>
        <v>300.5</v>
      </c>
      <c r="F88" s="140">
        <f>'Lớp 12'!S165</f>
        <v>300</v>
      </c>
      <c r="G88" s="140">
        <f>'Lớp 12'!S200</f>
        <v>300</v>
      </c>
      <c r="H88" s="140">
        <f>'Lớp 12'!S232</f>
        <v>299.5</v>
      </c>
      <c r="I88" s="140">
        <f>'Lớp 12'!S266</f>
        <v>298</v>
      </c>
      <c r="J88" s="140">
        <f>'Lớp 12'!S298</f>
        <v>300</v>
      </c>
      <c r="K88" s="140">
        <f>'Lớp 12'!S333</f>
        <v>299</v>
      </c>
      <c r="L88" s="140">
        <f>'Lớp 12'!S365</f>
        <v>300</v>
      </c>
      <c r="M88" s="140">
        <f>'Lớp 12'!S400</f>
        <v>298.5</v>
      </c>
      <c r="N88" s="140">
        <f>'Lớp 12'!S437</f>
        <v>298</v>
      </c>
      <c r="O88" s="140">
        <f>'Lớp 12'!S472</f>
        <v>300</v>
      </c>
      <c r="P88" s="141">
        <f t="shared" si="5"/>
        <v>299.5</v>
      </c>
      <c r="Q88" s="142">
        <f t="shared" si="6"/>
        <v>7</v>
      </c>
    </row>
    <row r="89">
      <c r="A89" s="132">
        <v>45973.0</v>
      </c>
      <c r="B89" s="140">
        <f>'Lớp 12'!S18</f>
        <v>295.5</v>
      </c>
      <c r="C89" s="140">
        <f>'Lớp 12'!S58</f>
        <v>300</v>
      </c>
      <c r="D89" s="140">
        <f>'Lớp 12'!S96</f>
        <v>296.5</v>
      </c>
      <c r="E89" s="140">
        <f>'Lớp 12'!S128</f>
        <v>297.5</v>
      </c>
      <c r="F89" s="140">
        <f>'Lớp 12'!S166</f>
        <v>301</v>
      </c>
      <c r="G89" s="140">
        <f>'Lớp 12'!S201</f>
        <v>300</v>
      </c>
      <c r="H89" s="140">
        <f>'Lớp 12'!S233</f>
        <v>299</v>
      </c>
      <c r="I89" s="140">
        <f>'Lớp 12'!S267</f>
        <v>300</v>
      </c>
      <c r="J89" s="140">
        <f>'Lớp 12'!S299</f>
        <v>299.5</v>
      </c>
      <c r="K89" s="140">
        <f>'Lớp 12'!S334</f>
        <v>301</v>
      </c>
      <c r="L89" s="140">
        <f>'Lớp 12'!S366</f>
        <v>300</v>
      </c>
      <c r="M89" s="140">
        <f>'Lớp 12'!S401</f>
        <v>299.5</v>
      </c>
      <c r="N89" s="140">
        <f>'Lớp 12'!S438</f>
        <v>300</v>
      </c>
      <c r="O89" s="140">
        <f>'Lớp 12'!S473</f>
        <v>299.5</v>
      </c>
      <c r="P89" s="141">
        <f t="shared" si="5"/>
        <v>299.21</v>
      </c>
      <c r="Q89" s="142">
        <f t="shared" si="6"/>
        <v>10</v>
      </c>
    </row>
    <row r="90">
      <c r="A90" s="132">
        <v>46003.0</v>
      </c>
      <c r="B90" s="140">
        <f>'Lớp 12'!S19</f>
        <v>299.5</v>
      </c>
      <c r="C90" s="140">
        <f>'Lớp 12'!S59</f>
        <v>303</v>
      </c>
      <c r="D90" s="140">
        <f>'Lớp 12'!S97</f>
        <v>300.5</v>
      </c>
      <c r="E90" s="140">
        <f>'Lớp 12'!S129</f>
        <v>299</v>
      </c>
      <c r="F90" s="140">
        <f>'Lớp 12'!S167</f>
        <v>301</v>
      </c>
      <c r="G90" s="140">
        <f>'Lớp 12'!S202</f>
        <v>298.5</v>
      </c>
      <c r="H90" s="140">
        <f>'Lớp 12'!S234</f>
        <v>302.5</v>
      </c>
      <c r="I90" s="140">
        <f>'Lớp 12'!S268</f>
        <v>300</v>
      </c>
      <c r="J90" s="140">
        <f>'Lớp 12'!S300</f>
        <v>299.5</v>
      </c>
      <c r="K90" s="140">
        <f>'Lớp 12'!S335</f>
        <v>298</v>
      </c>
      <c r="L90" s="140">
        <f>'Lớp 12'!S367</f>
        <v>300.5</v>
      </c>
      <c r="M90" s="140">
        <f>'Lớp 12'!S402</f>
        <v>297.5</v>
      </c>
      <c r="N90" s="140">
        <f>'Lớp 12'!S439</f>
        <v>298</v>
      </c>
      <c r="O90" s="140">
        <f>'Lớp 12'!S474</f>
        <v>298</v>
      </c>
      <c r="P90" s="141">
        <f t="shared" si="5"/>
        <v>299.68</v>
      </c>
      <c r="Q90" s="142">
        <f t="shared" si="6"/>
        <v>6</v>
      </c>
    </row>
    <row r="91">
      <c r="A91" s="143" t="s">
        <v>488</v>
      </c>
      <c r="B91" s="140">
        <f>'Lớp 12'!S20</f>
        <v>297.5</v>
      </c>
      <c r="C91" s="140">
        <f>'Lớp 12'!S60</f>
        <v>302.5</v>
      </c>
      <c r="D91" s="140">
        <f>'Lớp 12'!S98</f>
        <v>298.5</v>
      </c>
      <c r="E91" s="140">
        <f>'Lớp 12'!S130</f>
        <v>301</v>
      </c>
      <c r="F91" s="140">
        <f>'Lớp 12'!S168</f>
        <v>300.5</v>
      </c>
      <c r="G91" s="140">
        <f>'Lớp 12'!S203</f>
        <v>300.5</v>
      </c>
      <c r="H91" s="140">
        <f>'Lớp 12'!S235</f>
        <v>302</v>
      </c>
      <c r="I91" s="140">
        <f>'Lớp 12'!S269</f>
        <v>300</v>
      </c>
      <c r="J91" s="140">
        <f>'Lớp 12'!S301</f>
        <v>300</v>
      </c>
      <c r="K91" s="140">
        <f>'Lớp 12'!S336</f>
        <v>302</v>
      </c>
      <c r="L91" s="140">
        <f>'Lớp 12'!S368</f>
        <v>303</v>
      </c>
      <c r="M91" s="140">
        <f>'Lớp 12'!S403</f>
        <v>298</v>
      </c>
      <c r="N91" s="140">
        <f>'Lớp 12'!S440</f>
        <v>298.5</v>
      </c>
      <c r="O91" s="140">
        <f>'Lớp 12'!S475</f>
        <v>302.5</v>
      </c>
      <c r="P91" s="141">
        <f t="shared" si="5"/>
        <v>300.46</v>
      </c>
      <c r="Q91" s="142">
        <f t="shared" si="6"/>
        <v>2</v>
      </c>
    </row>
    <row r="92">
      <c r="A92" s="144" t="s">
        <v>489</v>
      </c>
      <c r="B92" s="152">
        <f>'Lớp 12'!S21</f>
        <v>297</v>
      </c>
      <c r="C92" s="152">
        <f>'Lớp 12'!S61</f>
        <v>302.5</v>
      </c>
      <c r="D92" s="152">
        <f>'Lớp 12'!S99</f>
        <v>300.5</v>
      </c>
      <c r="E92" s="152">
        <f>'Lớp 12'!S131</f>
        <v>301.5</v>
      </c>
      <c r="F92" s="152">
        <f>'Lớp 12'!S169</f>
        <v>301</v>
      </c>
      <c r="G92" s="152">
        <f>'Lớp 12'!S204</f>
        <v>300</v>
      </c>
      <c r="H92" s="152">
        <f>'Lớp 12'!S236</f>
        <v>302.5</v>
      </c>
      <c r="I92" s="152">
        <f>'Lớp 12'!S270</f>
        <v>300</v>
      </c>
      <c r="J92" s="152">
        <f>'Lớp 12'!S302</f>
        <v>298.5</v>
      </c>
      <c r="K92" s="152">
        <f>'Lớp 12'!S337</f>
        <v>300.5</v>
      </c>
      <c r="L92" s="152">
        <f>'Lớp 12'!S369</f>
        <v>301</v>
      </c>
      <c r="M92" s="152">
        <f>'Lớp 12'!S404</f>
        <v>298</v>
      </c>
      <c r="N92" s="152">
        <f>'Lớp 12'!S441</f>
        <v>301.5</v>
      </c>
      <c r="O92" s="152">
        <f>'Lớp 12'!S476</f>
        <v>301.5</v>
      </c>
      <c r="P92" s="153">
        <f t="shared" si="5"/>
        <v>300.43</v>
      </c>
      <c r="Q92" s="154">
        <f t="shared" si="6"/>
        <v>3</v>
      </c>
    </row>
    <row r="93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</row>
    <row r="94">
      <c r="A94" s="129"/>
      <c r="B94" s="149" t="s">
        <v>703</v>
      </c>
      <c r="C94" s="11"/>
      <c r="D94" s="149" t="s">
        <v>704</v>
      </c>
      <c r="E94" s="10"/>
      <c r="F94" s="10"/>
      <c r="G94" s="11"/>
      <c r="H94" s="138" t="s">
        <v>705</v>
      </c>
      <c r="I94" s="136"/>
      <c r="J94" s="136"/>
      <c r="K94" s="136"/>
      <c r="L94" s="136"/>
      <c r="M94" s="136"/>
      <c r="N94" s="136"/>
      <c r="O94" s="136"/>
      <c r="P94" s="136"/>
      <c r="Q94" s="136"/>
    </row>
    <row r="95" ht="45.0" customHeight="1">
      <c r="A95" s="129"/>
      <c r="B95" s="149" t="s">
        <v>706</v>
      </c>
      <c r="C95" s="11"/>
      <c r="D95" s="156" t="s">
        <v>717</v>
      </c>
      <c r="E95" s="10"/>
      <c r="F95" s="10"/>
      <c r="G95" s="11"/>
      <c r="H95" s="151" t="s">
        <v>708</v>
      </c>
      <c r="I95" s="136"/>
      <c r="J95" s="136"/>
      <c r="K95" s="136"/>
      <c r="L95" s="136"/>
      <c r="M95" s="136"/>
      <c r="N95" s="136"/>
      <c r="O95" s="136"/>
      <c r="P95" s="136"/>
      <c r="Q95" s="136"/>
    </row>
    <row r="96">
      <c r="A96" s="129"/>
      <c r="B96" s="149" t="s">
        <v>709</v>
      </c>
      <c r="C96" s="11"/>
      <c r="D96" s="156" t="s">
        <v>718</v>
      </c>
      <c r="E96" s="10"/>
      <c r="F96" s="10"/>
      <c r="G96" s="11"/>
      <c r="H96" s="151" t="s">
        <v>711</v>
      </c>
      <c r="I96" s="136"/>
      <c r="J96" s="136"/>
      <c r="K96" s="136"/>
      <c r="L96" s="136"/>
      <c r="M96" s="136"/>
      <c r="N96" s="136"/>
      <c r="O96" s="136"/>
      <c r="P96" s="136"/>
      <c r="Q96" s="136"/>
    </row>
    <row r="97">
      <c r="A97" s="129"/>
      <c r="B97" s="129"/>
      <c r="C97" s="129"/>
      <c r="D97" s="129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</row>
    <row r="98">
      <c r="A98" s="129"/>
      <c r="B98" s="129"/>
      <c r="C98" s="129"/>
      <c r="D98" s="129"/>
      <c r="E98" s="136"/>
      <c r="F98" s="136"/>
      <c r="G98" s="136"/>
      <c r="H98" s="136"/>
      <c r="I98" s="136"/>
      <c r="J98" s="136"/>
      <c r="K98" s="136"/>
      <c r="L98" s="136"/>
      <c r="M98" s="136"/>
      <c r="N98" s="136" t="s">
        <v>712</v>
      </c>
      <c r="O98" s="136"/>
      <c r="P98" s="136"/>
      <c r="Q98" s="136"/>
    </row>
    <row r="99">
      <c r="D99" s="129"/>
      <c r="E99" s="128" t="s">
        <v>682</v>
      </c>
      <c r="H99" s="128"/>
      <c r="I99" s="128"/>
      <c r="J99" s="128"/>
      <c r="K99" s="128"/>
      <c r="L99" s="128"/>
      <c r="M99" s="128"/>
      <c r="N99" s="128" t="s">
        <v>683</v>
      </c>
      <c r="O99" s="128"/>
      <c r="P99" s="128"/>
      <c r="Q99" s="128"/>
    </row>
    <row r="100">
      <c r="D100" s="129"/>
      <c r="E100" s="128" t="s">
        <v>684</v>
      </c>
      <c r="H100" s="128"/>
      <c r="I100" s="128"/>
      <c r="J100" s="128"/>
      <c r="K100" s="128"/>
      <c r="L100" s="128"/>
      <c r="M100" s="128"/>
      <c r="N100" s="128" t="s">
        <v>685</v>
      </c>
      <c r="O100" s="128"/>
      <c r="P100" s="128"/>
      <c r="Q100" s="128"/>
    </row>
    <row r="101"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</row>
    <row r="102"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</row>
    <row r="103"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</row>
    <row r="104"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</row>
    <row r="105"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</row>
    <row r="106">
      <c r="D106" s="129"/>
      <c r="E106" s="128" t="s">
        <v>686</v>
      </c>
      <c r="H106" s="128"/>
      <c r="I106" s="128"/>
      <c r="J106" s="128"/>
      <c r="K106" s="128"/>
      <c r="L106" s="128"/>
      <c r="M106" s="128"/>
      <c r="N106" s="128" t="s">
        <v>687</v>
      </c>
      <c r="O106" s="128"/>
      <c r="P106" s="128"/>
      <c r="Q106" s="128"/>
    </row>
  </sheetData>
  <mergeCells count="36">
    <mergeCell ref="A1:D1"/>
    <mergeCell ref="A2:D2"/>
    <mergeCell ref="A4:Q4"/>
    <mergeCell ref="B21:C21"/>
    <mergeCell ref="D21:G21"/>
    <mergeCell ref="B22:C22"/>
    <mergeCell ref="D22:G22"/>
    <mergeCell ref="D23:G23"/>
    <mergeCell ref="E26:G26"/>
    <mergeCell ref="E27:G27"/>
    <mergeCell ref="E33:G33"/>
    <mergeCell ref="A36:D36"/>
    <mergeCell ref="A37:D37"/>
    <mergeCell ref="A39:Q39"/>
    <mergeCell ref="E63:G63"/>
    <mergeCell ref="E64:G64"/>
    <mergeCell ref="E70:G70"/>
    <mergeCell ref="A73:D73"/>
    <mergeCell ref="A74:D74"/>
    <mergeCell ref="A76:Q76"/>
    <mergeCell ref="B23:C23"/>
    <mergeCell ref="B58:C58"/>
    <mergeCell ref="D58:G58"/>
    <mergeCell ref="B59:C59"/>
    <mergeCell ref="D59:G59"/>
    <mergeCell ref="B60:C60"/>
    <mergeCell ref="D60:G60"/>
    <mergeCell ref="E100:G100"/>
    <mergeCell ref="E106:G106"/>
    <mergeCell ref="B94:C94"/>
    <mergeCell ref="D94:G94"/>
    <mergeCell ref="B95:C95"/>
    <mergeCell ref="D95:G95"/>
    <mergeCell ref="B96:C96"/>
    <mergeCell ref="D96:G96"/>
    <mergeCell ref="E99:G99"/>
  </mergeCells>
  <drawing r:id="rId1"/>
</worksheet>
</file>